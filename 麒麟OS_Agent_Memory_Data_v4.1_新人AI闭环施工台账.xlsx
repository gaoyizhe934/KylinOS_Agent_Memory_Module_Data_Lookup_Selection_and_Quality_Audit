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开始这里" sheetId="1" state="visible" r:id="rId1"/>
    <sheet xmlns:r="http://schemas.openxmlformats.org/officeDocument/2006/relationships" name="01_Closure_Q1-Q8" sheetId="2" state="visible" r:id="rId2"/>
    <sheet xmlns:r="http://schemas.openxmlformats.org/officeDocument/2006/relationships" name="02_LegacyInventory" sheetId="3" state="visible" r:id="rId3"/>
    <sheet xmlns:r="http://schemas.openxmlformats.org/officeDocument/2006/relationships" name="03_LegacyRequal" sheetId="4" state="visible" r:id="rId4"/>
    <sheet xmlns:r="http://schemas.openxmlformats.org/officeDocument/2006/relationships" name="04_动态配额" sheetId="5" state="visible" r:id="rId5"/>
    <sheet xmlns:r="http://schemas.openxmlformats.org/officeDocument/2006/relationships" name="05_Seal撤销重封" sheetId="6" state="visible" r:id="rId6"/>
    <sheet xmlns:r="http://schemas.openxmlformats.org/officeDocument/2006/relationships" name="06_P2A_Tooling" sheetId="7" state="visible" r:id="rId7"/>
    <sheet xmlns:r="http://schemas.openxmlformats.org/officeDocument/2006/relationships" name="07_Calibration衔接" sheetId="8" state="visible" r:id="rId8"/>
    <sheet xmlns:r="http://schemas.openxmlformats.org/officeDocument/2006/relationships" name="08_人工独立性" sheetId="9" state="visible" r:id="rId9"/>
    <sheet xmlns:r="http://schemas.openxmlformats.org/officeDocument/2006/relationships" name="09_主仓依赖Gate" sheetId="10" state="visible" r:id="rId10"/>
    <sheet xmlns:r="http://schemas.openxmlformats.org/officeDocument/2006/relationships" name="10_任务判定矩阵" sheetId="11" state="visible" r:id="rId11"/>
    <sheet xmlns:r="http://schemas.openxmlformats.org/officeDocument/2006/relationships" name="11_Admission" sheetId="12" state="visible" r:id="rId12"/>
    <sheet xmlns:r="http://schemas.openxmlformats.org/officeDocument/2006/relationships" name="12_双盲SOP" sheetId="13" state="visible" r:id="rId13"/>
    <sheet xmlns:r="http://schemas.openxmlformats.org/officeDocument/2006/relationships" name="13_Runtime35" sheetId="14" state="visible" r:id="rId14"/>
    <sheet xmlns:r="http://schemas.openxmlformats.org/officeDocument/2006/relationships" name="14_Reviewer_StopLine" sheetId="15" state="visible" r:id="rId15"/>
    <sheet xmlns:r="http://schemas.openxmlformats.org/officeDocument/2006/relationships" name="15_五天执行" sheetId="16" state="visible" r:id="rId16"/>
    <sheet xmlns:r="http://schemas.openxmlformats.org/officeDocument/2006/relationships" name="16_AI_Prompt索引" sheetId="17" state="visible" r:id="rId17"/>
    <sheet xmlns:r="http://schemas.openxmlformats.org/officeDocument/2006/relationships" name="17_AI会话日志" sheetId="18" state="visible" r:id="rId18"/>
    <sheet xmlns:r="http://schemas.openxmlformats.org/officeDocument/2006/relationships" name="18_Dashboard" sheetId="19" state="visible" r:id="rId1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0" pivotButton="0" quotePrefix="0" xfId="0"/>
    <xf numFmtId="9" fontId="0" fillId="0" borderId="1" pivotButton="0" quotePrefix="0" xfId="0"/>
    <xf numFmtId="9" fontId="0" fillId="0" borderId="0" pivotButton="0" quotePrefix="0" xfId="0"/>
  </cellXfs>
  <cellStyles count="1">
    <cellStyle name="Normal" xfId="0"/>
  </cellStyles>
  <dxfs count="3"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v4.1 核心进度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值</v>
          </tx>
          <spPr>
            <a:ln xmlns:a="http://schemas.openxmlformats.org/drawingml/2006/main">
              <a:prstDash val="solid"/>
            </a:ln>
          </spPr>
          <cat>
            <strRef>
              <f>'18_Dashboard'!$A$4:$A$10</f>
              <strCache>
                <ptCount val="0"/>
              </strCache>
            </strRef>
          </cat>
          <val>
            <numRef>
              <f>'18_Dashboard'!$B$4:$B$10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14</row>
      <rowOff>0</rowOff>
    </from>
    <to>
      <col>6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34" customWidth="1" min="3" max="3"/>
    <col width="32" customWidth="1" min="4" max="4"/>
    <col width="28" customWidth="1" min="5" max="5"/>
    <col width="17" customWidth="1" min="6" max="6"/>
    <col width="18" customWidth="1" min="7" max="7"/>
    <col width="34" customWidth="1" min="8" max="8"/>
    <col width="34" customWidth="1" min="9" max="9"/>
    <col width="15" customWidth="1" min="10" max="10"/>
    <col width="18" customWidth="1" min="11" max="11"/>
    <col width="14" customWidth="1" min="12" max="12"/>
    <col width="13" customWidth="1" min="13" max="13"/>
  </cols>
  <sheetData>
    <row r="1" ht="28" customHeight="1">
      <c r="A1" s="9" t="inlineStr">
        <is>
          <t>Data v4.1 新人+AI闭环施工控制台｜先完成 Closure，再启动正式5天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/>
    <row r="3">
      <c r="A3" s="13" t="inlineStr">
        <is>
          <t>阶段</t>
        </is>
      </c>
      <c r="B3" s="13" t="inlineStr">
        <is>
          <t>步骤</t>
        </is>
      </c>
      <c r="C3" s="13" t="inlineStr">
        <is>
          <t>新人动作</t>
        </is>
      </c>
      <c r="D3" s="13" t="inlineStr">
        <is>
          <t>AI动作</t>
        </is>
      </c>
      <c r="E3" s="13" t="inlineStr">
        <is>
          <t>输出</t>
        </is>
      </c>
      <c r="F3" s="13" t="inlineStr">
        <is>
          <t>人工确认</t>
        </is>
      </c>
      <c r="G3" s="13" t="inlineStr">
        <is>
          <t>PASS后</t>
        </is>
      </c>
      <c r="H3" s="13" t="inlineStr">
        <is>
          <t>FAIL/BLOCKED后</t>
        </is>
      </c>
      <c r="I3" s="13" t="inlineStr">
        <is>
          <t>禁止</t>
        </is>
      </c>
      <c r="J3" s="13" t="inlineStr">
        <is>
          <t>是否计入5天</t>
        </is>
      </c>
      <c r="K3" s="13" t="inlineStr">
        <is>
          <t>Prompt</t>
        </is>
      </c>
      <c r="L3" s="13" t="inlineStr">
        <is>
          <t>预计</t>
        </is>
      </c>
      <c r="M3" s="13" t="inlineStr">
        <is>
          <t>状态</t>
        </is>
      </c>
    </row>
    <row r="4">
      <c r="A4" s="20" t="inlineStr">
        <is>
          <t>Closure</t>
        </is>
      </c>
      <c r="B4" s="20" t="inlineStr">
        <is>
          <t>C0</t>
        </is>
      </c>
      <c r="C4" s="20" t="inlineStr">
        <is>
          <t>确认Data-A/Data-B/Data-R三个人工角色，签独立性声明</t>
        </is>
      </c>
      <c r="D4" s="20" t="inlineStr">
        <is>
          <t>检查角色冲突</t>
        </is>
      </c>
      <c r="E4" s="20" t="inlineStr">
        <is>
          <t>independence_manifest.json</t>
        </is>
      </c>
      <c r="F4" s="20" t="inlineStr">
        <is>
          <t>Data-R</t>
        </is>
      </c>
      <c r="G4" s="20" t="inlineStr">
        <is>
          <t>C1</t>
        </is>
      </c>
      <c r="H4" s="20" t="inlineStr">
        <is>
          <t>不得启动双盲</t>
        </is>
      </c>
      <c r="I4" s="20" t="inlineStr">
        <is>
          <t>AI不能充当第二人工标注者</t>
        </is>
      </c>
      <c r="J4" s="20" t="inlineStr">
        <is>
          <t>否</t>
        </is>
      </c>
      <c r="K4" s="20" t="inlineStr">
        <is>
          <t>P06</t>
        </is>
      </c>
      <c r="L4" s="20" t="inlineStr">
        <is>
          <t>10min</t>
        </is>
      </c>
      <c r="M4" s="20" t="inlineStr">
        <is>
          <t>未开始</t>
        </is>
      </c>
    </row>
    <row r="5">
      <c r="A5" s="20" t="inlineStr">
        <is>
          <t>Closure</t>
        </is>
      </c>
      <c r="B5" s="20" t="inlineStr">
        <is>
          <t>C1</t>
        </is>
      </c>
      <c r="C5" s="20" t="inlineStr">
        <is>
          <t>盘点真实Legacy集合，不先假设=265</t>
        </is>
      </c>
      <c r="D5" s="20" t="inlineStr">
        <is>
          <t>扫描gold/processed/interim生成逐样本账本+logical dedup+fail-closed</t>
        </is>
      </c>
      <c r="E5" s="20" t="inlineStr">
        <is>
          <t>legacy_inventory_v4_full.jsonl + legacy_inventory_v4.json(summary)</t>
        </is>
      </c>
      <c r="F5" s="20" t="inlineStr">
        <is>
          <t>Data-R</t>
        </is>
      </c>
      <c r="G5" s="20" t="inlineStr">
        <is>
          <t>C2</t>
        </is>
      </c>
      <c r="H5" s="20" t="inlineStr">
        <is>
          <t>修inventory；未冻结不做重准入</t>
        </is>
      </c>
      <c r="I5" s="20" t="inlineStr">
        <is>
          <t>不得用Excel预留行数反推存量</t>
        </is>
      </c>
      <c r="J5" s="20" t="inlineStr">
        <is>
          <t>否</t>
        </is>
      </c>
      <c r="K5" s="20" t="inlineStr">
        <is>
          <t>P01</t>
        </is>
      </c>
      <c r="L5" s="20" t="inlineStr">
        <is>
          <t>30-60min</t>
        </is>
      </c>
      <c r="M5" s="20" t="inlineStr">
        <is>
          <t>未开始</t>
        </is>
      </c>
    </row>
    <row r="6">
      <c r="A6" s="20" t="inlineStr">
        <is>
          <t>Closure</t>
        </is>
      </c>
      <c r="B6" s="20" t="inlineStr">
        <is>
          <t>C2</t>
        </is>
      </c>
      <c r="C6" s="20" t="inlineStr">
        <is>
          <t>检查旧sealed是否泄漏/模板污染</t>
        </is>
      </c>
      <c r="D6" s="20" t="inlineStr">
        <is>
          <t>生成seal audit</t>
        </is>
      </c>
      <c r="E6" s="20" t="inlineStr">
        <is>
          <t>seal_audit_v4.1.json (primary)；supporting: seal_revocation_record.json/leak_registry_patch.json/reseal_plan.json</t>
        </is>
      </c>
      <c r="F6" s="20" t="inlineStr">
        <is>
          <t>Data-R</t>
        </is>
      </c>
      <c r="G6" s="20" t="inlineStr">
        <is>
          <t>C3</t>
        </is>
      </c>
      <c r="H6" s="20" t="inlineStr">
        <is>
          <t>污染则REVOKE+RESEAL</t>
        </is>
      </c>
      <c r="I6" s="20" t="inlineStr">
        <is>
          <t>不得覆盖旧seal</t>
        </is>
      </c>
      <c r="J6" s="20" t="inlineStr">
        <is>
          <t>否</t>
        </is>
      </c>
      <c r="K6" s="20" t="inlineStr">
        <is>
          <t>P02</t>
        </is>
      </c>
      <c r="L6" s="20" t="inlineStr">
        <is>
          <t>30min</t>
        </is>
      </c>
      <c r="M6" s="20" t="inlineStr">
        <is>
          <t>未开始</t>
        </is>
      </c>
    </row>
    <row r="7">
      <c r="A7" s="20" t="inlineStr">
        <is>
          <t>Closure</t>
        </is>
      </c>
      <c r="B7" s="20" t="inlineStr">
        <is>
          <t>C3</t>
        </is>
      </c>
      <c r="C7" s="20" t="inlineStr">
        <is>
          <t>检查SOP目标脚本是否真实存在</t>
        </is>
      </c>
      <c r="D7" s="20" t="inlineStr">
        <is>
          <t>生成tooling gap</t>
        </is>
      </c>
      <c r="E7" s="20" t="inlineStr">
        <is>
          <t>tooling_bootstrap_report.json</t>
        </is>
      </c>
      <c r="F7" s="20" t="inlineStr">
        <is>
          <t>Data-B/R</t>
        </is>
      </c>
      <c r="G7" s="20" t="inlineStr">
        <is>
          <t>C4</t>
        </is>
      </c>
      <c r="H7" s="20" t="inlineStr">
        <is>
          <t>先跑P2-A Tooling Bootstrap</t>
        </is>
      </c>
      <c r="I7" s="20" t="inlineStr">
        <is>
          <t>不得假装脚本已执行</t>
        </is>
      </c>
      <c r="J7" s="20" t="inlineStr">
        <is>
          <t>否</t>
        </is>
      </c>
      <c r="K7" s="20" t="inlineStr">
        <is>
          <t>P03</t>
        </is>
      </c>
      <c r="L7" s="20" t="inlineStr">
        <is>
          <t>30min</t>
        </is>
      </c>
      <c r="M7" s="20" t="inlineStr">
        <is>
          <t>未开始</t>
        </is>
      </c>
    </row>
    <row r="8">
      <c r="A8" s="20" t="inlineStr">
        <is>
          <t>Closure</t>
        </is>
      </c>
      <c r="B8" s="20" t="inlineStr">
        <is>
          <t>C4</t>
        </is>
      </c>
      <c r="C8" s="20" t="inlineStr">
        <is>
          <t>确认旧PR31的40条用途</t>
        </is>
      </c>
      <c r="D8" s="20" t="inlineStr">
        <is>
          <t>做trial reuse audit</t>
        </is>
      </c>
      <c r="E8" s="20" t="inlineStr">
        <is>
          <t>trial40_reuse_audit.json</t>
        </is>
      </c>
      <c r="F8" s="20" t="inlineStr">
        <is>
          <t>Data-R</t>
        </is>
      </c>
      <c r="G8" s="20" t="inlineStr">
        <is>
          <t>C5</t>
        </is>
      </c>
      <c r="H8" s="20" t="inlineStr">
        <is>
          <t>默认HISTORY_ONLY；重新抽40</t>
        </is>
      </c>
      <c r="I8" s="20" t="inlineStr">
        <is>
          <t>不得把已暴露样本直接当新blind calibration</t>
        </is>
      </c>
      <c r="J8" s="20" t="inlineStr">
        <is>
          <t>否</t>
        </is>
      </c>
      <c r="K8" s="20" t="inlineStr">
        <is>
          <t>P05</t>
        </is>
      </c>
      <c r="L8" s="20" t="inlineStr">
        <is>
          <t>20min</t>
        </is>
      </c>
      <c r="M8" s="20" t="inlineStr">
        <is>
          <t>未开始</t>
        </is>
      </c>
    </row>
    <row r="9">
      <c r="A9" s="20" t="inlineStr">
        <is>
          <t>Closure</t>
        </is>
      </c>
      <c r="B9" s="20" t="inlineStr">
        <is>
          <t>C5</t>
        </is>
      </c>
      <c r="C9" s="20" t="inlineStr">
        <is>
          <t>确认主仓M1/M2/M3输入及承诺</t>
        </is>
      </c>
      <c r="D9" s="20" t="inlineStr">
        <is>
          <t>登记依赖+owner+deadline+fallback+evidence locator（不含M1-KB/M2/M3提前全绿）</t>
        </is>
      </c>
      <c r="E9" s="20" t="inlineStr">
        <is>
          <t>main_dependency_gate.json</t>
        </is>
      </c>
      <c r="F9" s="20" t="inlineStr">
        <is>
          <t>Data-R</t>
        </is>
      </c>
      <c r="G9" s="20" t="inlineStr">
        <is>
          <t>正式5天D1（M1最晚D1 10:30 PASS；未PASS则production business truth STOP）</t>
        </is>
      </c>
      <c r="H9" s="20" t="inlineStr">
        <is>
          <t>可做安全并行任务</t>
        </is>
      </c>
      <c r="I9" s="20" t="inlineStr">
        <is>
          <t>不得伪造knowledge_id/Runtime</t>
        </is>
      </c>
      <c r="J9" s="20" t="inlineStr">
        <is>
          <t>否</t>
        </is>
      </c>
      <c r="K9" s="20" t="inlineStr">
        <is>
          <t>P70</t>
        </is>
      </c>
      <c r="L9" s="20" t="inlineStr">
        <is>
          <t>20min</t>
        </is>
      </c>
      <c r="M9" s="20" t="inlineStr">
        <is>
          <t>未开始</t>
        </is>
      </c>
    </row>
    <row r="10">
      <c r="A10" s="20" t="inlineStr">
        <is>
          <t>正式5天</t>
        </is>
      </c>
      <c r="B10" s="20" t="inlineStr">
        <is>
          <t>D1</t>
        </is>
      </c>
      <c r="C10" s="20" t="inlineStr">
        <is>
          <t>Legacy-N重资格+Candidate工厂</t>
        </is>
      </c>
      <c r="D10" s="20" t="inlineStr">
        <is>
          <t>机器审计/候选生成</t>
        </is>
      </c>
      <c r="E10" s="20" t="inlineStr">
        <is>
          <t>requal+candidates</t>
        </is>
      </c>
      <c r="F10" s="20" t="inlineStr">
        <is>
          <t>A/B/R</t>
        </is>
      </c>
      <c r="G10" s="20" t="inlineStr">
        <is>
          <t>D2</t>
        </is>
      </c>
      <c r="H10" s="20" t="inlineStr">
        <is>
          <t>按Stop-line返工</t>
        </is>
      </c>
      <c r="I10" s="20" t="inlineStr">
        <is>
          <t>不降Gate</t>
        </is>
      </c>
      <c r="J10" s="20" t="inlineStr">
        <is>
          <t>是</t>
        </is>
      </c>
      <c r="K10" s="20" t="inlineStr">
        <is>
          <t>P10/P11/P20-23</t>
        </is>
      </c>
      <c r="L10" s="20" t="inlineStr">
        <is>
          <t>6h/人</t>
        </is>
      </c>
      <c r="M10" s="20" t="inlineStr">
        <is>
          <t>未开始</t>
        </is>
      </c>
    </row>
    <row r="11">
      <c r="A11" s="20" t="inlineStr">
        <is>
          <t>正式5天</t>
        </is>
      </c>
      <c r="B11" s="20" t="inlineStr">
        <is>
          <t>D2</t>
        </is>
      </c>
      <c r="C11" s="20" t="inlineStr">
        <is>
          <t>新抽40 Calibration双盲+Wave1</t>
        </is>
      </c>
      <c r="D11" s="20" t="inlineStr">
        <is>
          <t>结构辅助，不给答案</t>
        </is>
      </c>
      <c r="E11" s="20" t="inlineStr">
        <is>
          <t>labels/calibration</t>
        </is>
      </c>
      <c r="F11" s="20" t="inlineStr">
        <is>
          <t>A/B/R</t>
        </is>
      </c>
      <c r="G11" s="20" t="inlineStr">
        <is>
          <t>D3</t>
        </is>
      </c>
      <c r="H11" s="20" t="inlineStr">
        <is>
          <t>Kappa&lt;0.70停Bulk</t>
        </is>
      </c>
      <c r="I11" s="20" t="inlineStr">
        <is>
          <t>A/B不得互看</t>
        </is>
      </c>
      <c r="J11" s="20" t="inlineStr">
        <is>
          <t>是</t>
        </is>
      </c>
      <c r="K11" s="20" t="inlineStr">
        <is>
          <t>P40/P41/P42/P50</t>
        </is>
      </c>
      <c r="L11" s="20" t="inlineStr">
        <is>
          <t>6h/人</t>
        </is>
      </c>
      <c r="M11" s="20" t="inlineStr">
        <is>
          <t>未开始</t>
        </is>
      </c>
    </row>
    <row r="12">
      <c r="A12" s="20" t="inlineStr">
        <is>
          <t>正式5天</t>
        </is>
      </c>
      <c r="B12" s="20" t="inlineStr">
        <is>
          <t>D3</t>
        </is>
      </c>
      <c r="C12" s="20" t="inlineStr">
        <is>
          <t>Bulk主体+KB+Runtime dry-run</t>
        </is>
      </c>
      <c r="D12" s="20" t="inlineStr">
        <is>
          <t>自动校验/分歧聚类</t>
        </is>
      </c>
      <c r="E12" s="20" t="inlineStr">
        <is>
          <t>bulk+KB+M-gate</t>
        </is>
      </c>
      <c r="F12" s="20" t="inlineStr">
        <is>
          <t>A/B/R</t>
        </is>
      </c>
      <c r="G12" s="20" t="inlineStr">
        <is>
          <t>D4</t>
        </is>
      </c>
      <c r="H12" s="20" t="inlineStr">
        <is>
          <t>M3不绿则Runtime BLOCKED</t>
        </is>
      </c>
      <c r="I12" s="20" t="inlineStr">
        <is>
          <t>不把静态样本当Runtime</t>
        </is>
      </c>
      <c r="J12" s="20" t="inlineStr">
        <is>
          <t>是</t>
        </is>
      </c>
      <c r="K12" s="20" t="inlineStr">
        <is>
          <t>P42/P60/P70</t>
        </is>
      </c>
      <c r="L12" s="20" t="inlineStr">
        <is>
          <t>6h/人</t>
        </is>
      </c>
      <c r="M12" s="20" t="inlineStr">
        <is>
          <t>未开始</t>
        </is>
      </c>
    </row>
    <row r="13">
      <c r="A13" s="20" t="inlineStr">
        <is>
          <t>正式5天</t>
        </is>
      </c>
      <c r="B13" s="20" t="inlineStr">
        <is>
          <t>D4</t>
        </is>
      </c>
      <c r="C13" s="20" t="inlineStr">
        <is>
          <t>完成剩余Gold+35 Runtime，16:45生产冻结</t>
        </is>
      </c>
      <c r="D13" s="20" t="inlineStr">
        <is>
          <t>日志解析/证据绑定</t>
        </is>
      </c>
      <c r="E13" s="20" t="inlineStr">
        <is>
          <t>785目标/Runtime evidence</t>
        </is>
      </c>
      <c r="F13" s="20" t="inlineStr">
        <is>
          <t>A/B/R</t>
        </is>
      </c>
      <c r="G13" s="20" t="inlineStr">
        <is>
          <t>D5</t>
        </is>
      </c>
      <c r="H13" s="20" t="inlineStr">
        <is>
          <t>只补P0缺口</t>
        </is>
      </c>
      <c r="I13" s="20" t="inlineStr">
        <is>
          <t>16:45后不扩普通量</t>
        </is>
      </c>
      <c r="J13" s="20" t="inlineStr">
        <is>
          <t>是</t>
        </is>
      </c>
      <c r="K13" s="20" t="inlineStr">
        <is>
          <t>P42/P50/P60</t>
        </is>
      </c>
      <c r="L13" s="20" t="inlineStr">
        <is>
          <t>6h/人</t>
        </is>
      </c>
      <c r="M13" s="20" t="inlineStr">
        <is>
          <t>未开始</t>
        </is>
      </c>
    </row>
    <row r="14">
      <c r="A14" s="20" t="inlineStr">
        <is>
          <t>正式5天</t>
        </is>
      </c>
      <c r="B14" s="20" t="inlineStr">
        <is>
          <t>D5</t>
        </is>
      </c>
      <c r="C14" s="20" t="inlineStr">
        <is>
          <t>QA/回溯/Split/Seal/Release</t>
        </is>
      </c>
      <c r="D14" s="20" t="inlineStr">
        <is>
          <t>全量机器QA+hash</t>
        </is>
      </c>
      <c r="E14" s="20" t="inlineStr">
        <is>
          <t>DATA_RELEASE_v4.1</t>
        </is>
      </c>
      <c r="F14" s="20" t="inlineStr">
        <is>
          <t>Data-R</t>
        </is>
      </c>
      <c r="G14" s="20" t="inlineStr">
        <is>
          <t>结束</t>
        </is>
      </c>
      <c r="H14" s="20" t="inlineStr">
        <is>
          <t>任一P0 FAIL则不发布</t>
        </is>
      </c>
      <c r="I14" s="20" t="inlineStr">
        <is>
          <t>主仓只消费APPROVED</t>
        </is>
      </c>
      <c r="J14" s="20" t="inlineStr">
        <is>
          <t>是</t>
        </is>
      </c>
      <c r="K14" s="20" t="inlineStr">
        <is>
          <t>P80/P90/P99</t>
        </is>
      </c>
      <c r="L14" s="20" t="inlineStr">
        <is>
          <t>6h/人</t>
        </is>
      </c>
      <c r="M14" s="20" t="inlineStr">
        <is>
          <t>未开始</t>
        </is>
      </c>
    </row>
  </sheetData>
  <mergeCells count="1">
    <mergeCell ref="A1:M1"/>
  </mergeCells>
  <conditionalFormatting sqref="M4:M14">
    <cfRule type="expression" priority="1" dxfId="0">
      <formula>M4="完成"</formula>
    </cfRule>
    <cfRule type="expression" priority="2" dxfId="1">
      <formula>M4="阻塞"</formula>
    </cfRule>
    <cfRule type="expression" priority="3" dxfId="2">
      <formula>M4="进行中"</formula>
    </cfRule>
  </conditionalFormatting>
  <dataValidations count="1">
    <dataValidation sqref="M4:M14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13" customWidth="1" min="3" max="3"/>
    <col width="55" customWidth="1" min="4" max="4"/>
    <col width="28" customWidth="1" min="5" max="5"/>
    <col width="18" customWidth="1" min="6" max="6"/>
    <col width="26" customWidth="1" min="7" max="7"/>
    <col width="36" customWidth="1" min="8" max="8"/>
    <col width="12" customWidth="1" min="9" max="9"/>
    <col width="12" customWidth="1" min="10" max="10"/>
    <col width="30" customWidth="1" min="11" max="11"/>
    <col width="24" customWidth="1" min="12" max="12"/>
  </cols>
  <sheetData>
    <row r="1" ht="28" customHeight="1">
      <c r="A1" s="9" t="inlineStr">
        <is>
          <t>v4.1 Closure Layer｜针对覆盖度检查 Q1-Q8 的确定性闭环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13" t="inlineStr">
        <is>
          <t>Q</t>
        </is>
      </c>
      <c r="B3" s="13" t="inlineStr">
        <is>
          <t>问题</t>
        </is>
      </c>
      <c r="C3" s="13" t="inlineStr">
        <is>
          <t>级别</t>
        </is>
      </c>
      <c r="D3" s="13" t="inlineStr">
        <is>
          <t>v4.1确定规则</t>
        </is>
      </c>
      <c r="E3" s="13" t="inlineStr">
        <is>
          <t>机器输出</t>
        </is>
      </c>
      <c r="F3" s="13" t="inlineStr">
        <is>
          <t>人工签署</t>
        </is>
      </c>
      <c r="G3" s="13" t="inlineStr">
        <is>
          <t>阻塞什么</t>
        </is>
      </c>
      <c r="H3" s="13" t="inlineStr">
        <is>
          <t>Fallback</t>
        </is>
      </c>
      <c r="I3" s="13" t="inlineStr">
        <is>
          <t>Prompt</t>
        </is>
      </c>
      <c r="J3" s="13" t="inlineStr">
        <is>
          <t>状态</t>
        </is>
      </c>
      <c r="K3" s="13" t="inlineStr">
        <is>
          <t>证据</t>
        </is>
      </c>
      <c r="L3" s="13" t="inlineStr">
        <is>
          <t>备注</t>
        </is>
      </c>
    </row>
    <row r="4">
      <c r="A4" s="20" t="inlineStr">
        <is>
          <t>Q1</t>
        </is>
      </c>
      <c r="B4" s="20" t="inlineStr">
        <is>
          <t>Legacy范围/来源未与仓库存量对齐</t>
        </is>
      </c>
      <c r="C4" s="20" t="inlineStr">
        <is>
          <t>P0</t>
        </is>
      </c>
      <c r="D4" s="20" t="inlineStr">
        <is>
          <t>先Inventory后命名Legacy-N；记录path/split/file_sha/sample_id/source/hash；Data-R签LEGACY_SET_FROZEN</t>
        </is>
      </c>
      <c r="E4" s="20" t="inlineStr">
        <is>
          <t>legacy_inventory_v4_full.jsonl + legacy_inventory_v4.json(summary)</t>
        </is>
      </c>
      <c r="F4" s="20" t="inlineStr">
        <is>
          <t>Data-R</t>
        </is>
      </c>
      <c r="G4" s="20" t="inlineStr">
        <is>
          <t>Legacy重准入/动态配额</t>
        </is>
      </c>
      <c r="H4" s="20" t="inlineStr">
        <is>
          <t>只做盘点，不做Gold</t>
        </is>
      </c>
      <c r="I4" s="20" t="inlineStr">
        <is>
          <t>P01</t>
        </is>
      </c>
      <c r="J4" s="20" t="inlineStr">
        <is>
          <t>PENDING</t>
        </is>
      </c>
      <c r="K4" s="20" t="str"/>
      <c r="L4" s="20" t="str"/>
    </row>
    <row r="5">
      <c r="A5" s="20" t="inlineStr">
        <is>
          <t>Q2</t>
        </is>
      </c>
      <c r="B5" s="20" t="inlineStr">
        <is>
          <t>旧sealed若污染无回滚重封</t>
        </is>
      </c>
      <c r="C5" s="20" t="inlineStr">
        <is>
          <t>P0</t>
        </is>
      </c>
      <c r="D5" s="20" t="inlineStr">
        <is>
          <t>旧seal永不覆盖；标REVOKED；泄漏fingerprint入registry；新seal_generation重切/重hash；被暴露样本永不再进sealed</t>
        </is>
      </c>
      <c r="E5" s="20" t="inlineStr">
        <is>
          <t>seal_audit_v4.1.json (primary)；revocation/reseal为supporting</t>
        </is>
      </c>
      <c r="F5" s="20" t="inlineStr">
        <is>
          <t>Data-R</t>
        </is>
      </c>
      <c r="G5" s="20" t="inlineStr">
        <is>
          <t>正式sealed/release</t>
        </is>
      </c>
      <c r="H5" s="20" t="inlineStr">
        <is>
          <t>旧样本可经审计转dev/reg，但不回sealed</t>
        </is>
      </c>
      <c r="I5" s="20" t="inlineStr">
        <is>
          <t>P02</t>
        </is>
      </c>
      <c r="J5" s="20" t="inlineStr">
        <is>
          <t>PENDING</t>
        </is>
      </c>
      <c r="K5" s="20" t="str"/>
      <c r="L5" s="20" t="str"/>
    </row>
    <row r="6">
      <c r="A6" s="20" t="inlineStr">
        <is>
          <t>Q3</t>
        </is>
      </c>
      <c r="B6" s="20" t="inlineStr">
        <is>
          <t>SOP脚本未实现</t>
        </is>
      </c>
      <c r="C6" s="20" t="inlineStr">
        <is>
          <t>P0</t>
        </is>
      </c>
      <c r="D6" s="20" t="inlineStr">
        <is>
          <t>5天时钟前跑P2-A Tooling Bootstrap；不存在脚本返回NEEDS_IMPLEMENTATION；最小工具通过单测/幂等/raw只读后才可进流水线</t>
        </is>
      </c>
      <c r="E6" s="20" t="inlineStr">
        <is>
          <t>tooling_bootstrap_report.json</t>
        </is>
      </c>
      <c r="F6" s="20" t="inlineStr">
        <is>
          <t>Data-B+R</t>
        </is>
      </c>
      <c r="G6" s="20" t="inlineStr">
        <is>
          <t>机械流水线</t>
        </is>
      </c>
      <c r="H6" s="20" t="inlineStr">
        <is>
          <t>人工临时流程仅限P0且必须留证据</t>
        </is>
      </c>
      <c r="I6" s="20" t="inlineStr">
        <is>
          <t>P03</t>
        </is>
      </c>
      <c r="J6" s="20" t="inlineStr">
        <is>
          <t>PENDING</t>
        </is>
      </c>
      <c r="K6" s="20" t="str"/>
      <c r="L6" s="20" t="str"/>
    </row>
    <row r="7">
      <c r="A7" s="20" t="inlineStr">
        <is>
          <t>Q4</t>
        </is>
      </c>
      <c r="B7" s="20" t="inlineStr">
        <is>
          <t>KB400/knowledge_id依赖主仓</t>
        </is>
      </c>
      <c r="C7" s="20" t="inlineStr">
        <is>
          <t>P0外部</t>
        </is>
      </c>
      <c r="D7" s="20" t="inlineStr">
        <is>
          <t>Contract未FROZEN时只用local_candidate_id；production knowledge_id禁止猜；KB_CONTRACT_FROZEN后批量绑定并重验</t>
        </is>
      </c>
      <c r="E7" s="20" t="inlineStr">
        <is>
          <t>kb_binding_report.json</t>
        </is>
      </c>
      <c r="F7" s="20" t="inlineStr">
        <is>
          <t>Data-R/Main-E</t>
        </is>
      </c>
      <c r="G7" s="20" t="inlineStr">
        <is>
          <t>Retrieval final</t>
        </is>
      </c>
      <c r="H7" s="20" t="inlineStr">
        <is>
          <t>非Retrieval可继续</t>
        </is>
      </c>
      <c r="I7" s="20" t="inlineStr">
        <is>
          <t>P70</t>
        </is>
      </c>
      <c r="J7" s="20" t="inlineStr">
        <is>
          <t>PENDING</t>
        </is>
      </c>
      <c r="K7" s="20" t="str"/>
      <c r="L7" s="20" t="str"/>
    </row>
    <row r="8">
      <c r="A8" s="20" t="inlineStr">
        <is>
          <t>Q5</t>
        </is>
      </c>
      <c r="B8" s="20" t="inlineStr">
        <is>
          <t>Runtime35依赖M1/M2/M3</t>
        </is>
      </c>
      <c r="C8" s="20" t="inlineStr">
        <is>
          <t>P0外部</t>
        </is>
      </c>
      <c r="D8" s="20" t="inlineStr">
        <is>
          <t>D3 18:00前M1/M2/M3全PASS才放行Runtime；否则160 Runtime Gold=BLOCKED_EXTERNAL，不计完成</t>
        </is>
      </c>
      <c r="E8" s="20" t="inlineStr">
        <is>
          <t>main_dependency_gate.json</t>
        </is>
      </c>
      <c r="F8" s="20" t="inlineStr">
        <is>
          <t>Data-R</t>
        </is>
      </c>
      <c r="G8" s="20" t="inlineStr">
        <is>
          <t>Tool/E2E Runtime Gold</t>
        </is>
      </c>
      <c r="H8" s="20" t="inlineStr">
        <is>
          <t>625非Runtime Gold+400KB可继续</t>
        </is>
      </c>
      <c r="I8" s="20" t="inlineStr">
        <is>
          <t>P70</t>
        </is>
      </c>
      <c r="J8" s="20" t="inlineStr">
        <is>
          <t>PENDING</t>
        </is>
      </c>
      <c r="K8" s="20" t="str"/>
      <c r="L8" s="20" t="str"/>
    </row>
    <row r="9">
      <c r="A9" s="20" t="inlineStr">
        <is>
          <t>Q6</t>
        </is>
      </c>
      <c r="B9" s="20" t="inlineStr">
        <is>
          <t>现有PR31 40是否复用</t>
        </is>
      </c>
      <c r="C9" s="20" t="inlineStr">
        <is>
          <t>P1</t>
        </is>
      </c>
      <c r="D9" s="20" t="inlineStr">
        <is>
          <t>DEFAULT=HISTORY_ONLY；正式默认路线=fresh40；EXCEPTION=P05全条件PASS + Data-R显式批准（非默认排程）</t>
        </is>
      </c>
      <c r="E9" s="20" t="inlineStr">
        <is>
          <t>trial40_reuse_audit.json</t>
        </is>
      </c>
      <c r="F9" s="20" t="inlineStr">
        <is>
          <t>Data-R</t>
        </is>
      </c>
      <c r="G9" s="20" t="inlineStr">
        <is>
          <t>Calibration</t>
        </is>
      </c>
      <c r="H9" s="20" t="inlineStr">
        <is>
          <t>重新抽40</t>
        </is>
      </c>
      <c r="I9" s="20" t="inlineStr">
        <is>
          <t>P05</t>
        </is>
      </c>
      <c r="J9" s="20" t="inlineStr">
        <is>
          <t>PENDING</t>
        </is>
      </c>
      <c r="K9" s="20" t="str"/>
      <c r="L9" s="20" t="str"/>
    </row>
    <row r="10">
      <c r="A10" s="20" t="inlineStr">
        <is>
          <t>Q7</t>
        </is>
      </c>
      <c r="B10" s="20" t="inlineStr">
        <is>
          <t>Legacy处置与785目标未联动</t>
        </is>
      </c>
      <c r="C10" s="20" t="inlineStr">
        <is>
          <t>P1</t>
        </is>
      </c>
      <c r="D10" s="20" t="inlineStr">
        <is>
          <t>每任务 new_needed=max(target-accepted_legacy,0)；candidate_needed=ceil(new_needed*1.30)；Runtime目标不由legacy静态样本抵扣</t>
        </is>
      </c>
      <c r="E10" s="20" t="inlineStr">
        <is>
          <t>quota_plan_v4.1.csv</t>
        </is>
      </c>
      <c r="F10" s="20" t="inlineStr">
        <is>
          <t>Data-R</t>
        </is>
      </c>
      <c r="G10" s="20" t="inlineStr">
        <is>
          <t>候选工厂规模</t>
        </is>
      </c>
      <c r="H10" s="20" t="inlineStr">
        <is>
          <t>按任务自动计算</t>
        </is>
      </c>
      <c r="I10" s="20" t="inlineStr">
        <is>
          <t>P04</t>
        </is>
      </c>
      <c r="J10" s="20" t="inlineStr">
        <is>
          <t>PENDING</t>
        </is>
      </c>
      <c r="K10" s="20" t="str"/>
      <c r="L10" s="20" t="str"/>
    </row>
    <row r="11">
      <c r="A11" s="20" t="inlineStr">
        <is>
          <t>Q8</t>
        </is>
      </c>
      <c r="B11" s="20" t="inlineStr">
        <is>
          <t>单人/AI兼任A+B冲突</t>
        </is>
      </c>
      <c r="C11" s="20" t="inlineStr">
        <is>
          <t>P0治理</t>
        </is>
      </c>
      <c r="D11" s="20" t="inlineStr">
        <is>
          <t>A/B必须两个不同人工；R第三人；AI只能NO-ANSWER辅助。任何兼任→正式双盲Gate FAIL；无法豁免为正式Gold</t>
        </is>
      </c>
      <c r="E11" s="20" t="inlineStr">
        <is>
          <t>independence_manifest.json</t>
        </is>
      </c>
      <c r="F11" s="20" t="inlineStr">
        <is>
          <t>Data-R</t>
        </is>
      </c>
      <c r="G11" s="20" t="inlineStr">
        <is>
          <t>Calibration/Bulk/正式Gold</t>
        </is>
      </c>
      <c r="H11" s="20" t="inlineStr">
        <is>
          <t>仅可标SINGLE_REVIEW/UNVERIFIED，不计正式双盲Gold</t>
        </is>
      </c>
      <c r="I11" s="20" t="inlineStr">
        <is>
          <t>P06</t>
        </is>
      </c>
      <c r="J11" s="20" t="inlineStr">
        <is>
          <t>PENDING</t>
        </is>
      </c>
      <c r="K11" s="20" t="str"/>
      <c r="L11" s="20" t="str"/>
    </row>
  </sheetData>
  <mergeCells count="1">
    <mergeCell ref="A1:L1"/>
  </mergeCells>
  <dataValidations count="1">
    <dataValidation sqref="J4:J11" showDropDown="0" showInputMessage="0" showErrorMessage="0" allowBlank="0" type="list">
      <formula1>"PENDING,PASS,FAIL,BLOCKED,N/A"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13" customWidth="1" min="4" max="4"/>
    <col width="42" customWidth="1" min="5" max="5"/>
    <col width="30" customWidth="1" min="6" max="6"/>
    <col width="10" customWidth="1" min="7" max="7"/>
    <col width="22" customWidth="1" min="8" max="8"/>
    <col width="19" customWidth="1" min="9" max="9"/>
    <col width="20" customWidth="1" min="10" max="10"/>
    <col width="30" customWidth="1" min="11" max="11"/>
    <col width="13" customWidth="1" min="12" max="12"/>
    <col width="24" customWidth="1" min="13" max="13"/>
    <col width="16" customWidth="1" min="14" max="14"/>
    <col width="14" customWidth="1" min="15" max="15"/>
    <col width="24" customWidth="1" min="16" max="16"/>
    <col width="20" customWidth="1" min="18" max="18"/>
    <col width="18" customWidth="1" min="19" max="19"/>
  </cols>
  <sheetData>
    <row r="1" ht="28" customHeight="1">
      <c r="A1" s="9" t="inlineStr">
        <is>
          <t>SOP-C1｜Legacy Inventory：先冻结真实集合，再做Legacy-N重准入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3">
      <c r="A3" s="13" t="inlineStr">
        <is>
          <t>Row</t>
        </is>
      </c>
      <c r="B3" s="13" t="inlineStr">
        <is>
          <t>repo_ref</t>
        </is>
      </c>
      <c r="C3" s="13" t="inlineStr">
        <is>
          <t>layer</t>
        </is>
      </c>
      <c r="D3" s="13" t="inlineStr">
        <is>
          <t>split</t>
        </is>
      </c>
      <c r="E3" s="13" t="inlineStr">
        <is>
          <t>file_path</t>
        </is>
      </c>
      <c r="F3" s="13" t="inlineStr">
        <is>
          <t>file_sha256</t>
        </is>
      </c>
      <c r="G3" s="13" t="inlineStr">
        <is>
          <t>line_no</t>
        </is>
      </c>
      <c r="H3" s="13" t="inlineStr">
        <is>
          <t>sample_id</t>
        </is>
      </c>
      <c r="I3" s="13" t="inlineStr">
        <is>
          <t>task_type</t>
        </is>
      </c>
      <c r="J3" s="13" t="inlineStr">
        <is>
          <t>source</t>
        </is>
      </c>
      <c r="K3" s="13" t="inlineStr">
        <is>
          <t>sample_fingerprint</t>
        </is>
      </c>
      <c r="L3" s="13" t="inlineStr">
        <is>
          <t>label_exposed</t>
        </is>
      </c>
      <c r="M3" s="13" t="inlineStr">
        <is>
          <t>template_family</t>
        </is>
      </c>
      <c r="N3" s="13" t="inlineStr">
        <is>
          <t>inventory_status</t>
        </is>
      </c>
      <c r="O3" s="13" t="inlineStr">
        <is>
          <t>Data-R签署</t>
        </is>
      </c>
      <c r="P3" s="13" t="inlineStr">
        <is>
          <t>备注</t>
        </is>
      </c>
      <c r="R3" s="13" t="inlineStr">
        <is>
          <t>KPI</t>
        </is>
      </c>
      <c r="S3" s="13" t="inlineStr">
        <is>
          <t>公式/值</t>
        </is>
      </c>
    </row>
    <row r="4">
      <c r="A4" s="20" t="n">
        <v>1</v>
      </c>
      <c r="B4" s="20" t="str"/>
      <c r="C4" s="20" t="str"/>
      <c r="D4" s="20" t="str"/>
      <c r="E4" s="20" t="str"/>
      <c r="F4" s="20" t="str"/>
      <c r="G4" s="20" t="str"/>
      <c r="H4" s="20" t="str"/>
      <c r="I4" s="20" t="str"/>
      <c r="J4" s="20" t="str"/>
      <c r="K4" s="20" t="str"/>
      <c r="L4" s="20" t="inlineStr">
        <is>
          <t>待确认</t>
        </is>
      </c>
      <c r="M4" s="20" t="str"/>
      <c r="N4" s="20" t="inlineStr">
        <is>
          <t>PENDING</t>
        </is>
      </c>
      <c r="O4" s="20" t="inlineStr">
        <is>
          <t>待确认</t>
        </is>
      </c>
      <c r="P4" s="20" t="str"/>
      <c r="R4" t="inlineStr">
        <is>
          <t>Inventory行数</t>
        </is>
      </c>
      <c r="S4">
        <f>COUNTIF(H4:H503,"&lt;&gt;")</f>
        <v/>
      </c>
    </row>
    <row r="5">
      <c r="A5" s="20" t="n">
        <v>2</v>
      </c>
      <c r="B5" s="20" t="str"/>
      <c r="C5" s="20" t="str"/>
      <c r="D5" s="20" t="str"/>
      <c r="E5" s="20" t="str"/>
      <c r="F5" s="20" t="str"/>
      <c r="G5" s="20" t="str"/>
      <c r="H5" s="20" t="str"/>
      <c r="I5" s="20" t="str"/>
      <c r="J5" s="20" t="str"/>
      <c r="K5" s="20" t="str"/>
      <c r="L5" s="20" t="inlineStr">
        <is>
          <t>待确认</t>
        </is>
      </c>
      <c r="M5" s="20" t="str"/>
      <c r="N5" s="20" t="inlineStr">
        <is>
          <t>PENDING</t>
        </is>
      </c>
      <c r="O5" s="20" t="inlineStr">
        <is>
          <t>待确认</t>
        </is>
      </c>
      <c r="P5" s="20" t="str"/>
      <c r="R5" t="inlineStr">
        <is>
          <t>IN_SCOPE</t>
        </is>
      </c>
      <c r="S5">
        <f>COUNTIF(N4:N503,"IN_SCOPE")</f>
        <v/>
      </c>
    </row>
    <row r="6">
      <c r="A6" s="20" t="n">
        <v>3</v>
      </c>
      <c r="B6" s="20" t="str"/>
      <c r="C6" s="20" t="str"/>
      <c r="D6" s="20" t="str"/>
      <c r="E6" s="20" t="str"/>
      <c r="F6" s="20" t="str"/>
      <c r="G6" s="20" t="str"/>
      <c r="H6" s="20" t="str"/>
      <c r="I6" s="20" t="str"/>
      <c r="J6" s="20" t="str"/>
      <c r="K6" s="20" t="str"/>
      <c r="L6" s="20" t="inlineStr">
        <is>
          <t>待确认</t>
        </is>
      </c>
      <c r="M6" s="20" t="str"/>
      <c r="N6" s="20" t="inlineStr">
        <is>
          <t>PENDING</t>
        </is>
      </c>
      <c r="O6" s="20" t="inlineStr">
        <is>
          <t>待确认</t>
        </is>
      </c>
      <c r="P6" s="20" t="str"/>
      <c r="R6" t="inlineStr">
        <is>
          <t>已暴露</t>
        </is>
      </c>
      <c r="S6">
        <f>COUNTIFS(N4:N503,"IN_SCOPE",L4:L503,"已暴露")</f>
        <v/>
      </c>
    </row>
    <row r="7">
      <c r="A7" s="20" t="n">
        <v>4</v>
      </c>
      <c r="B7" s="20" t="str"/>
      <c r="C7" s="20" t="str"/>
      <c r="D7" s="20" t="str"/>
      <c r="E7" s="20" t="str"/>
      <c r="F7" s="20" t="str"/>
      <c r="G7" s="20" t="str"/>
      <c r="H7" s="20" t="str"/>
      <c r="I7" s="20" t="str"/>
      <c r="J7" s="20" t="str"/>
      <c r="K7" s="20" t="str"/>
      <c r="L7" s="20" t="inlineStr">
        <is>
          <t>待确认</t>
        </is>
      </c>
      <c r="M7" s="20" t="str"/>
      <c r="N7" s="20" t="inlineStr">
        <is>
          <t>PENDING</t>
        </is>
      </c>
      <c r="O7" s="20" t="inlineStr">
        <is>
          <t>待确认</t>
        </is>
      </c>
      <c r="P7" s="20" t="str"/>
      <c r="R7" t="inlineStr">
        <is>
          <t>未暴露</t>
        </is>
      </c>
      <c r="S7">
        <f>COUNTIFS(N4:N503,"IN_SCOPE",L4:L503,"未暴露")</f>
        <v/>
      </c>
    </row>
    <row r="8">
      <c r="A8" s="20" t="n">
        <v>5</v>
      </c>
      <c r="B8" s="20" t="str"/>
      <c r="C8" s="20" t="str"/>
      <c r="D8" s="20" t="str"/>
      <c r="E8" s="20" t="str"/>
      <c r="F8" s="20" t="str"/>
      <c r="G8" s="20" t="str"/>
      <c r="H8" s="20" t="str"/>
      <c r="I8" s="20" t="str"/>
      <c r="J8" s="20" t="str"/>
      <c r="K8" s="20" t="str"/>
      <c r="L8" s="20" t="inlineStr">
        <is>
          <t>待确认</t>
        </is>
      </c>
      <c r="M8" s="20" t="str"/>
      <c r="N8" s="20" t="inlineStr">
        <is>
          <t>PENDING</t>
        </is>
      </c>
      <c r="O8" s="20" t="inlineStr">
        <is>
          <t>待确认</t>
        </is>
      </c>
      <c r="P8" s="20" t="str"/>
      <c r="R8" t="inlineStr">
        <is>
          <t>签署行</t>
        </is>
      </c>
      <c r="S8">
        <f>COUNTIFS(N4:N503,"IN_SCOPE",O4:O503,"是")</f>
        <v/>
      </c>
    </row>
    <row r="9">
      <c r="A9" s="20" t="n">
        <v>6</v>
      </c>
      <c r="B9" s="20" t="str"/>
      <c r="C9" s="20" t="str"/>
      <c r="D9" s="20" t="str"/>
      <c r="E9" s="20" t="str"/>
      <c r="F9" s="20" t="str"/>
      <c r="G9" s="20" t="str"/>
      <c r="H9" s="20" t="str"/>
      <c r="I9" s="20" t="str"/>
      <c r="J9" s="20" t="str"/>
      <c r="K9" s="20" t="str"/>
      <c r="L9" s="20" t="inlineStr">
        <is>
          <t>待确认</t>
        </is>
      </c>
      <c r="M9" s="20" t="str"/>
      <c r="N9" s="20" t="inlineStr">
        <is>
          <t>PENDING</t>
        </is>
      </c>
      <c r="O9" s="20" t="inlineStr">
        <is>
          <t>待确认</t>
        </is>
      </c>
      <c r="P9" s="20" t="str"/>
      <c r="R9" t="inlineStr">
        <is>
          <t>Legacy集合状态</t>
        </is>
      </c>
      <c r="S9">
        <f>IF(AND(S5&gt;0,S5=S8),"LEGACY_SET_FROZEN","NOT_FROZEN")</f>
        <v/>
      </c>
    </row>
    <row r="10">
      <c r="A10" s="20" t="n">
        <v>7</v>
      </c>
      <c r="B10" s="20" t="str"/>
      <c r="C10" s="20" t="str"/>
      <c r="D10" s="20" t="str"/>
      <c r="E10" s="20" t="str"/>
      <c r="F10" s="20" t="str"/>
      <c r="G10" s="20" t="str"/>
      <c r="H10" s="20" t="str"/>
      <c r="I10" s="20" t="str"/>
      <c r="J10" s="20" t="str"/>
      <c r="K10" s="20" t="str"/>
      <c r="L10" s="20" t="inlineStr">
        <is>
          <t>待确认</t>
        </is>
      </c>
      <c r="M10" s="20" t="str"/>
      <c r="N10" s="20" t="inlineStr">
        <is>
          <t>PENDING</t>
        </is>
      </c>
      <c r="O10" s="20" t="inlineStr">
        <is>
          <t>待确认</t>
        </is>
      </c>
      <c r="P10" s="20" t="str"/>
    </row>
    <row r="11">
      <c r="A11" s="20" t="n">
        <v>8</v>
      </c>
      <c r="B11" s="20" t="str"/>
      <c r="C11" s="20" t="str"/>
      <c r="D11" s="20" t="str"/>
      <c r="E11" s="20" t="str"/>
      <c r="F11" s="20" t="str"/>
      <c r="G11" s="20" t="str"/>
      <c r="H11" s="20" t="str"/>
      <c r="I11" s="20" t="str"/>
      <c r="J11" s="20" t="str"/>
      <c r="K11" s="20" t="str"/>
      <c r="L11" s="20" t="inlineStr">
        <is>
          <t>待确认</t>
        </is>
      </c>
      <c r="M11" s="20" t="str"/>
      <c r="N11" s="20" t="inlineStr">
        <is>
          <t>PENDING</t>
        </is>
      </c>
      <c r="O11" s="20" t="inlineStr">
        <is>
          <t>待确认</t>
        </is>
      </c>
      <c r="P11" s="20" t="str"/>
    </row>
    <row r="12">
      <c r="A12" s="20" t="n">
        <v>9</v>
      </c>
      <c r="B12" s="20" t="str"/>
      <c r="C12" s="20" t="str"/>
      <c r="D12" s="20" t="str"/>
      <c r="E12" s="20" t="str"/>
      <c r="F12" s="20" t="str"/>
      <c r="G12" s="20" t="str"/>
      <c r="H12" s="20" t="str"/>
      <c r="I12" s="20" t="str"/>
      <c r="J12" s="20" t="str"/>
      <c r="K12" s="20" t="str"/>
      <c r="L12" s="20" t="inlineStr">
        <is>
          <t>待确认</t>
        </is>
      </c>
      <c r="M12" s="20" t="str"/>
      <c r="N12" s="20" t="inlineStr">
        <is>
          <t>PENDING</t>
        </is>
      </c>
      <c r="O12" s="20" t="inlineStr">
        <is>
          <t>待确认</t>
        </is>
      </c>
      <c r="P12" s="20" t="str"/>
    </row>
    <row r="13">
      <c r="A13" s="20" t="n">
        <v>10</v>
      </c>
      <c r="B13" s="20" t="str"/>
      <c r="C13" s="20" t="str"/>
      <c r="D13" s="20" t="str"/>
      <c r="E13" s="20" t="str"/>
      <c r="F13" s="20" t="str"/>
      <c r="G13" s="20" t="str"/>
      <c r="H13" s="20" t="str"/>
      <c r="I13" s="20" t="str"/>
      <c r="J13" s="20" t="str"/>
      <c r="K13" s="20" t="str"/>
      <c r="L13" s="20" t="inlineStr">
        <is>
          <t>待确认</t>
        </is>
      </c>
      <c r="M13" s="20" t="str"/>
      <c r="N13" s="20" t="inlineStr">
        <is>
          <t>PENDING</t>
        </is>
      </c>
      <c r="O13" s="20" t="inlineStr">
        <is>
          <t>待确认</t>
        </is>
      </c>
      <c r="P13" s="20" t="str"/>
    </row>
    <row r="14">
      <c r="A14" s="20" t="n">
        <v>11</v>
      </c>
      <c r="B14" s="20" t="str"/>
      <c r="C14" s="20" t="str"/>
      <c r="D14" s="20" t="str"/>
      <c r="E14" s="20" t="str"/>
      <c r="F14" s="20" t="str"/>
      <c r="G14" s="20" t="str"/>
      <c r="H14" s="20" t="str"/>
      <c r="I14" s="20" t="str"/>
      <c r="J14" s="20" t="str"/>
      <c r="K14" s="20" t="str"/>
      <c r="L14" s="20" t="inlineStr">
        <is>
          <t>待确认</t>
        </is>
      </c>
      <c r="M14" s="20" t="str"/>
      <c r="N14" s="20" t="inlineStr">
        <is>
          <t>PENDING</t>
        </is>
      </c>
      <c r="O14" s="20" t="inlineStr">
        <is>
          <t>待确认</t>
        </is>
      </c>
      <c r="P14" s="20" t="str"/>
    </row>
    <row r="15">
      <c r="A15" s="20" t="n">
        <v>12</v>
      </c>
      <c r="B15" s="20" t="str"/>
      <c r="C15" s="20" t="str"/>
      <c r="D15" s="20" t="str"/>
      <c r="E15" s="20" t="str"/>
      <c r="F15" s="20" t="str"/>
      <c r="G15" s="20" t="str"/>
      <c r="H15" s="20" t="str"/>
      <c r="I15" s="20" t="str"/>
      <c r="J15" s="20" t="str"/>
      <c r="K15" s="20" t="str"/>
      <c r="L15" s="20" t="inlineStr">
        <is>
          <t>待确认</t>
        </is>
      </c>
      <c r="M15" s="20" t="str"/>
      <c r="N15" s="20" t="inlineStr">
        <is>
          <t>PENDING</t>
        </is>
      </c>
      <c r="O15" s="20" t="inlineStr">
        <is>
          <t>待确认</t>
        </is>
      </c>
      <c r="P15" s="20" t="str"/>
    </row>
    <row r="16">
      <c r="A16" s="20" t="n">
        <v>13</v>
      </c>
      <c r="B16" s="20" t="str"/>
      <c r="C16" s="20" t="str"/>
      <c r="D16" s="20" t="str"/>
      <c r="E16" s="20" t="str"/>
      <c r="F16" s="20" t="str"/>
      <c r="G16" s="20" t="str"/>
      <c r="H16" s="20" t="str"/>
      <c r="I16" s="20" t="str"/>
      <c r="J16" s="20" t="str"/>
      <c r="K16" s="20" t="str"/>
      <c r="L16" s="20" t="inlineStr">
        <is>
          <t>待确认</t>
        </is>
      </c>
      <c r="M16" s="20" t="str"/>
      <c r="N16" s="20" t="inlineStr">
        <is>
          <t>PENDING</t>
        </is>
      </c>
      <c r="O16" s="20" t="inlineStr">
        <is>
          <t>待确认</t>
        </is>
      </c>
      <c r="P16" s="20" t="str"/>
    </row>
    <row r="17">
      <c r="A17" s="20" t="n">
        <v>14</v>
      </c>
      <c r="B17" s="20" t="str"/>
      <c r="C17" s="20" t="str"/>
      <c r="D17" s="20" t="str"/>
      <c r="E17" s="20" t="str"/>
      <c r="F17" s="20" t="str"/>
      <c r="G17" s="20" t="str"/>
      <c r="H17" s="20" t="str"/>
      <c r="I17" s="20" t="str"/>
      <c r="J17" s="20" t="str"/>
      <c r="K17" s="20" t="str"/>
      <c r="L17" s="20" t="inlineStr">
        <is>
          <t>待确认</t>
        </is>
      </c>
      <c r="M17" s="20" t="str"/>
      <c r="N17" s="20" t="inlineStr">
        <is>
          <t>PENDING</t>
        </is>
      </c>
      <c r="O17" s="20" t="inlineStr">
        <is>
          <t>待确认</t>
        </is>
      </c>
      <c r="P17" s="20" t="str"/>
    </row>
    <row r="18">
      <c r="A18" s="20" t="n">
        <v>15</v>
      </c>
      <c r="B18" s="20" t="str"/>
      <c r="C18" s="20" t="str"/>
      <c r="D18" s="20" t="str"/>
      <c r="E18" s="20" t="str"/>
      <c r="F18" s="20" t="str"/>
      <c r="G18" s="20" t="str"/>
      <c r="H18" s="20" t="str"/>
      <c r="I18" s="20" t="str"/>
      <c r="J18" s="20" t="str"/>
      <c r="K18" s="20" t="str"/>
      <c r="L18" s="20" t="inlineStr">
        <is>
          <t>待确认</t>
        </is>
      </c>
      <c r="M18" s="20" t="str"/>
      <c r="N18" s="20" t="inlineStr">
        <is>
          <t>PENDING</t>
        </is>
      </c>
      <c r="O18" s="20" t="inlineStr">
        <is>
          <t>待确认</t>
        </is>
      </c>
      <c r="P18" s="20" t="str"/>
    </row>
    <row r="19">
      <c r="A19" s="20" t="n">
        <v>16</v>
      </c>
      <c r="B19" s="20" t="str"/>
      <c r="C19" s="20" t="str"/>
      <c r="D19" s="20" t="str"/>
      <c r="E19" s="20" t="str"/>
      <c r="F19" s="20" t="str"/>
      <c r="G19" s="20" t="str"/>
      <c r="H19" s="20" t="str"/>
      <c r="I19" s="20" t="str"/>
      <c r="J19" s="20" t="str"/>
      <c r="K19" s="20" t="str"/>
      <c r="L19" s="20" t="inlineStr">
        <is>
          <t>待确认</t>
        </is>
      </c>
      <c r="M19" s="20" t="str"/>
      <c r="N19" s="20" t="inlineStr">
        <is>
          <t>PENDING</t>
        </is>
      </c>
      <c r="O19" s="20" t="inlineStr">
        <is>
          <t>待确认</t>
        </is>
      </c>
      <c r="P19" s="20" t="str"/>
    </row>
    <row r="20">
      <c r="A20" s="20" t="n">
        <v>17</v>
      </c>
      <c r="B20" s="20" t="str"/>
      <c r="C20" s="20" t="str"/>
      <c r="D20" s="20" t="str"/>
      <c r="E20" s="20" t="str"/>
      <c r="F20" s="20" t="str"/>
      <c r="G20" s="20" t="str"/>
      <c r="H20" s="20" t="str"/>
      <c r="I20" s="20" t="str"/>
      <c r="J20" s="20" t="str"/>
      <c r="K20" s="20" t="str"/>
      <c r="L20" s="20" t="inlineStr">
        <is>
          <t>待确认</t>
        </is>
      </c>
      <c r="M20" s="20" t="str"/>
      <c r="N20" s="20" t="inlineStr">
        <is>
          <t>PENDING</t>
        </is>
      </c>
      <c r="O20" s="20" t="inlineStr">
        <is>
          <t>待确认</t>
        </is>
      </c>
      <c r="P20" s="20" t="str"/>
    </row>
    <row r="21">
      <c r="A21" s="20" t="n">
        <v>18</v>
      </c>
      <c r="B21" s="20" t="str"/>
      <c r="C21" s="20" t="str"/>
      <c r="D21" s="20" t="str"/>
      <c r="E21" s="20" t="str"/>
      <c r="F21" s="20" t="str"/>
      <c r="G21" s="20" t="str"/>
      <c r="H21" s="20" t="str"/>
      <c r="I21" s="20" t="str"/>
      <c r="J21" s="20" t="str"/>
      <c r="K21" s="20" t="str"/>
      <c r="L21" s="20" t="inlineStr">
        <is>
          <t>待确认</t>
        </is>
      </c>
      <c r="M21" s="20" t="str"/>
      <c r="N21" s="20" t="inlineStr">
        <is>
          <t>PENDING</t>
        </is>
      </c>
      <c r="O21" s="20" t="inlineStr">
        <is>
          <t>待确认</t>
        </is>
      </c>
      <c r="P21" s="20" t="str"/>
    </row>
    <row r="22">
      <c r="A22" s="20" t="n">
        <v>19</v>
      </c>
      <c r="B22" s="20" t="str"/>
      <c r="C22" s="20" t="str"/>
      <c r="D22" s="20" t="str"/>
      <c r="E22" s="20" t="str"/>
      <c r="F22" s="20" t="str"/>
      <c r="G22" s="20" t="str"/>
      <c r="H22" s="20" t="str"/>
      <c r="I22" s="20" t="str"/>
      <c r="J22" s="20" t="str"/>
      <c r="K22" s="20" t="str"/>
      <c r="L22" s="20" t="inlineStr">
        <is>
          <t>待确认</t>
        </is>
      </c>
      <c r="M22" s="20" t="str"/>
      <c r="N22" s="20" t="inlineStr">
        <is>
          <t>PENDING</t>
        </is>
      </c>
      <c r="O22" s="20" t="inlineStr">
        <is>
          <t>待确认</t>
        </is>
      </c>
      <c r="P22" s="20" t="str"/>
    </row>
    <row r="23">
      <c r="A23" s="20" t="n">
        <v>20</v>
      </c>
      <c r="B23" s="20" t="str"/>
      <c r="C23" s="20" t="str"/>
      <c r="D23" s="20" t="str"/>
      <c r="E23" s="20" t="str"/>
      <c r="F23" s="20" t="str"/>
      <c r="G23" s="20" t="str"/>
      <c r="H23" s="20" t="str"/>
      <c r="I23" s="20" t="str"/>
      <c r="J23" s="20" t="str"/>
      <c r="K23" s="20" t="str"/>
      <c r="L23" s="20" t="inlineStr">
        <is>
          <t>待确认</t>
        </is>
      </c>
      <c r="M23" s="20" t="str"/>
      <c r="N23" s="20" t="inlineStr">
        <is>
          <t>PENDING</t>
        </is>
      </c>
      <c r="O23" s="20" t="inlineStr">
        <is>
          <t>待确认</t>
        </is>
      </c>
      <c r="P23" s="20" t="str"/>
    </row>
    <row r="24">
      <c r="A24" s="20" t="n">
        <v>21</v>
      </c>
      <c r="B24" s="20" t="str"/>
      <c r="C24" s="20" t="str"/>
      <c r="D24" s="20" t="str"/>
      <c r="E24" s="20" t="str"/>
      <c r="F24" s="20" t="str"/>
      <c r="G24" s="20" t="str"/>
      <c r="H24" s="20" t="str"/>
      <c r="I24" s="20" t="str"/>
      <c r="J24" s="20" t="str"/>
      <c r="K24" s="20" t="str"/>
      <c r="L24" s="20" t="inlineStr">
        <is>
          <t>待确认</t>
        </is>
      </c>
      <c r="M24" s="20" t="str"/>
      <c r="N24" s="20" t="inlineStr">
        <is>
          <t>PENDING</t>
        </is>
      </c>
      <c r="O24" s="20" t="inlineStr">
        <is>
          <t>待确认</t>
        </is>
      </c>
      <c r="P24" s="20" t="str"/>
    </row>
    <row r="25">
      <c r="A25" s="20" t="n">
        <v>22</v>
      </c>
      <c r="B25" s="20" t="str"/>
      <c r="C25" s="20" t="str"/>
      <c r="D25" s="20" t="str"/>
      <c r="E25" s="20" t="str"/>
      <c r="F25" s="20" t="str"/>
      <c r="G25" s="20" t="str"/>
      <c r="H25" s="20" t="str"/>
      <c r="I25" s="20" t="str"/>
      <c r="J25" s="20" t="str"/>
      <c r="K25" s="20" t="str"/>
      <c r="L25" s="20" t="inlineStr">
        <is>
          <t>待确认</t>
        </is>
      </c>
      <c r="M25" s="20" t="str"/>
      <c r="N25" s="20" t="inlineStr">
        <is>
          <t>PENDING</t>
        </is>
      </c>
      <c r="O25" s="20" t="inlineStr">
        <is>
          <t>待确认</t>
        </is>
      </c>
      <c r="P25" s="20" t="str"/>
    </row>
    <row r="26">
      <c r="A26" s="20" t="n">
        <v>23</v>
      </c>
      <c r="B26" s="20" t="str"/>
      <c r="C26" s="20" t="str"/>
      <c r="D26" s="20" t="str"/>
      <c r="E26" s="20" t="str"/>
      <c r="F26" s="20" t="str"/>
      <c r="G26" s="20" t="str"/>
      <c r="H26" s="20" t="str"/>
      <c r="I26" s="20" t="str"/>
      <c r="J26" s="20" t="str"/>
      <c r="K26" s="20" t="str"/>
      <c r="L26" s="20" t="inlineStr">
        <is>
          <t>待确认</t>
        </is>
      </c>
      <c r="M26" s="20" t="str"/>
      <c r="N26" s="20" t="inlineStr">
        <is>
          <t>PENDING</t>
        </is>
      </c>
      <c r="O26" s="20" t="inlineStr">
        <is>
          <t>待确认</t>
        </is>
      </c>
      <c r="P26" s="20" t="str"/>
    </row>
    <row r="27">
      <c r="A27" s="20" t="n">
        <v>24</v>
      </c>
      <c r="B27" s="20" t="str"/>
      <c r="C27" s="20" t="str"/>
      <c r="D27" s="20" t="str"/>
      <c r="E27" s="20" t="str"/>
      <c r="F27" s="20" t="str"/>
      <c r="G27" s="20" t="str"/>
      <c r="H27" s="20" t="str"/>
      <c r="I27" s="20" t="str"/>
      <c r="J27" s="20" t="str"/>
      <c r="K27" s="20" t="str"/>
      <c r="L27" s="20" t="inlineStr">
        <is>
          <t>待确认</t>
        </is>
      </c>
      <c r="M27" s="20" t="str"/>
      <c r="N27" s="20" t="inlineStr">
        <is>
          <t>PENDING</t>
        </is>
      </c>
      <c r="O27" s="20" t="inlineStr">
        <is>
          <t>待确认</t>
        </is>
      </c>
      <c r="P27" s="20" t="str"/>
    </row>
    <row r="28">
      <c r="A28" s="20" t="n">
        <v>25</v>
      </c>
      <c r="B28" s="20" t="str"/>
      <c r="C28" s="20" t="str"/>
      <c r="D28" s="20" t="str"/>
      <c r="E28" s="20" t="str"/>
      <c r="F28" s="20" t="str"/>
      <c r="G28" s="20" t="str"/>
      <c r="H28" s="20" t="str"/>
      <c r="I28" s="20" t="str"/>
      <c r="J28" s="20" t="str"/>
      <c r="K28" s="20" t="str"/>
      <c r="L28" s="20" t="inlineStr">
        <is>
          <t>待确认</t>
        </is>
      </c>
      <c r="M28" s="20" t="str"/>
      <c r="N28" s="20" t="inlineStr">
        <is>
          <t>PENDING</t>
        </is>
      </c>
      <c r="O28" s="20" t="inlineStr">
        <is>
          <t>待确认</t>
        </is>
      </c>
      <c r="P28" s="20" t="str"/>
    </row>
    <row r="29">
      <c r="A29" s="20" t="n">
        <v>26</v>
      </c>
      <c r="B29" s="20" t="str"/>
      <c r="C29" s="20" t="str"/>
      <c r="D29" s="20" t="str"/>
      <c r="E29" s="20" t="str"/>
      <c r="F29" s="20" t="str"/>
      <c r="G29" s="20" t="str"/>
      <c r="H29" s="20" t="str"/>
      <c r="I29" s="20" t="str"/>
      <c r="J29" s="20" t="str"/>
      <c r="K29" s="20" t="str"/>
      <c r="L29" s="20" t="inlineStr">
        <is>
          <t>待确认</t>
        </is>
      </c>
      <c r="M29" s="20" t="str"/>
      <c r="N29" s="20" t="inlineStr">
        <is>
          <t>PENDING</t>
        </is>
      </c>
      <c r="O29" s="20" t="inlineStr">
        <is>
          <t>待确认</t>
        </is>
      </c>
      <c r="P29" s="20" t="str"/>
    </row>
    <row r="30">
      <c r="A30" s="20" t="n">
        <v>27</v>
      </c>
      <c r="B30" s="20" t="str"/>
      <c r="C30" s="20" t="str"/>
      <c r="D30" s="20" t="str"/>
      <c r="E30" s="20" t="str"/>
      <c r="F30" s="20" t="str"/>
      <c r="G30" s="20" t="str"/>
      <c r="H30" s="20" t="str"/>
      <c r="I30" s="20" t="str"/>
      <c r="J30" s="20" t="str"/>
      <c r="K30" s="20" t="str"/>
      <c r="L30" s="20" t="inlineStr">
        <is>
          <t>待确认</t>
        </is>
      </c>
      <c r="M30" s="20" t="str"/>
      <c r="N30" s="20" t="inlineStr">
        <is>
          <t>PENDING</t>
        </is>
      </c>
      <c r="O30" s="20" t="inlineStr">
        <is>
          <t>待确认</t>
        </is>
      </c>
      <c r="P30" s="20" t="str"/>
    </row>
    <row r="31">
      <c r="A31" s="20" t="n">
        <v>28</v>
      </c>
      <c r="B31" s="20" t="str"/>
      <c r="C31" s="20" t="str"/>
      <c r="D31" s="20" t="str"/>
      <c r="E31" s="20" t="str"/>
      <c r="F31" s="20" t="str"/>
      <c r="G31" s="20" t="str"/>
      <c r="H31" s="20" t="str"/>
      <c r="I31" s="20" t="str"/>
      <c r="J31" s="20" t="str"/>
      <c r="K31" s="20" t="str"/>
      <c r="L31" s="20" t="inlineStr">
        <is>
          <t>待确认</t>
        </is>
      </c>
      <c r="M31" s="20" t="str"/>
      <c r="N31" s="20" t="inlineStr">
        <is>
          <t>PENDING</t>
        </is>
      </c>
      <c r="O31" s="20" t="inlineStr">
        <is>
          <t>待确认</t>
        </is>
      </c>
      <c r="P31" s="20" t="str"/>
    </row>
    <row r="32">
      <c r="A32" s="20" t="n">
        <v>29</v>
      </c>
      <c r="B32" s="20" t="str"/>
      <c r="C32" s="20" t="str"/>
      <c r="D32" s="20" t="str"/>
      <c r="E32" s="20" t="str"/>
      <c r="F32" s="20" t="str"/>
      <c r="G32" s="20" t="str"/>
      <c r="H32" s="20" t="str"/>
      <c r="I32" s="20" t="str"/>
      <c r="J32" s="20" t="str"/>
      <c r="K32" s="20" t="str"/>
      <c r="L32" s="20" t="inlineStr">
        <is>
          <t>待确认</t>
        </is>
      </c>
      <c r="M32" s="20" t="str"/>
      <c r="N32" s="20" t="inlineStr">
        <is>
          <t>PENDING</t>
        </is>
      </c>
      <c r="O32" s="20" t="inlineStr">
        <is>
          <t>待确认</t>
        </is>
      </c>
      <c r="P32" s="20" t="str"/>
    </row>
    <row r="33">
      <c r="A33" s="20" t="n">
        <v>30</v>
      </c>
      <c r="B33" s="20" t="str"/>
      <c r="C33" s="20" t="str"/>
      <c r="D33" s="20" t="str"/>
      <c r="E33" s="20" t="str"/>
      <c r="F33" s="20" t="str"/>
      <c r="G33" s="20" t="str"/>
      <c r="H33" s="20" t="str"/>
      <c r="I33" s="20" t="str"/>
      <c r="J33" s="20" t="str"/>
      <c r="K33" s="20" t="str"/>
      <c r="L33" s="20" t="inlineStr">
        <is>
          <t>待确认</t>
        </is>
      </c>
      <c r="M33" s="20" t="str"/>
      <c r="N33" s="20" t="inlineStr">
        <is>
          <t>PENDING</t>
        </is>
      </c>
      <c r="O33" s="20" t="inlineStr">
        <is>
          <t>待确认</t>
        </is>
      </c>
      <c r="P33" s="20" t="str"/>
    </row>
    <row r="34">
      <c r="A34" s="20" t="n">
        <v>31</v>
      </c>
      <c r="B34" s="20" t="str"/>
      <c r="C34" s="20" t="str"/>
      <c r="D34" s="20" t="str"/>
      <c r="E34" s="20" t="str"/>
      <c r="F34" s="20" t="str"/>
      <c r="G34" s="20" t="str"/>
      <c r="H34" s="20" t="str"/>
      <c r="I34" s="20" t="str"/>
      <c r="J34" s="20" t="str"/>
      <c r="K34" s="20" t="str"/>
      <c r="L34" s="20" t="inlineStr">
        <is>
          <t>待确认</t>
        </is>
      </c>
      <c r="M34" s="20" t="str"/>
      <c r="N34" s="20" t="inlineStr">
        <is>
          <t>PENDING</t>
        </is>
      </c>
      <c r="O34" s="20" t="inlineStr">
        <is>
          <t>待确认</t>
        </is>
      </c>
      <c r="P34" s="20" t="str"/>
    </row>
    <row r="35">
      <c r="A35" s="20" t="n">
        <v>32</v>
      </c>
      <c r="B35" s="20" t="str"/>
      <c r="C35" s="20" t="str"/>
      <c r="D35" s="20" t="str"/>
      <c r="E35" s="20" t="str"/>
      <c r="F35" s="20" t="str"/>
      <c r="G35" s="20" t="str"/>
      <c r="H35" s="20" t="str"/>
      <c r="I35" s="20" t="str"/>
      <c r="J35" s="20" t="str"/>
      <c r="K35" s="20" t="str"/>
      <c r="L35" s="20" t="inlineStr">
        <is>
          <t>待确认</t>
        </is>
      </c>
      <c r="M35" s="20" t="str"/>
      <c r="N35" s="20" t="inlineStr">
        <is>
          <t>PENDING</t>
        </is>
      </c>
      <c r="O35" s="20" t="inlineStr">
        <is>
          <t>待确认</t>
        </is>
      </c>
      <c r="P35" s="20" t="str"/>
    </row>
    <row r="36">
      <c r="A36" s="20" t="n">
        <v>33</v>
      </c>
      <c r="B36" s="20" t="str"/>
      <c r="C36" s="20" t="str"/>
      <c r="D36" s="20" t="str"/>
      <c r="E36" s="20" t="str"/>
      <c r="F36" s="20" t="str"/>
      <c r="G36" s="20" t="str"/>
      <c r="H36" s="20" t="str"/>
      <c r="I36" s="20" t="str"/>
      <c r="J36" s="20" t="str"/>
      <c r="K36" s="20" t="str"/>
      <c r="L36" s="20" t="inlineStr">
        <is>
          <t>待确认</t>
        </is>
      </c>
      <c r="M36" s="20" t="str"/>
      <c r="N36" s="20" t="inlineStr">
        <is>
          <t>PENDING</t>
        </is>
      </c>
      <c r="O36" s="20" t="inlineStr">
        <is>
          <t>待确认</t>
        </is>
      </c>
      <c r="P36" s="20" t="str"/>
    </row>
    <row r="37">
      <c r="A37" s="20" t="n">
        <v>34</v>
      </c>
      <c r="B37" s="20" t="str"/>
      <c r="C37" s="20" t="str"/>
      <c r="D37" s="20" t="str"/>
      <c r="E37" s="20" t="str"/>
      <c r="F37" s="20" t="str"/>
      <c r="G37" s="20" t="str"/>
      <c r="H37" s="20" t="str"/>
      <c r="I37" s="20" t="str"/>
      <c r="J37" s="20" t="str"/>
      <c r="K37" s="20" t="str"/>
      <c r="L37" s="20" t="inlineStr">
        <is>
          <t>待确认</t>
        </is>
      </c>
      <c r="M37" s="20" t="str"/>
      <c r="N37" s="20" t="inlineStr">
        <is>
          <t>PENDING</t>
        </is>
      </c>
      <c r="O37" s="20" t="inlineStr">
        <is>
          <t>待确认</t>
        </is>
      </c>
      <c r="P37" s="20" t="str"/>
    </row>
    <row r="38">
      <c r="A38" s="20" t="n">
        <v>35</v>
      </c>
      <c r="B38" s="20" t="str"/>
      <c r="C38" s="20" t="str"/>
      <c r="D38" s="20" t="str"/>
      <c r="E38" s="20" t="str"/>
      <c r="F38" s="20" t="str"/>
      <c r="G38" s="20" t="str"/>
      <c r="H38" s="20" t="str"/>
      <c r="I38" s="20" t="str"/>
      <c r="J38" s="20" t="str"/>
      <c r="K38" s="20" t="str"/>
      <c r="L38" s="20" t="inlineStr">
        <is>
          <t>待确认</t>
        </is>
      </c>
      <c r="M38" s="20" t="str"/>
      <c r="N38" s="20" t="inlineStr">
        <is>
          <t>PENDING</t>
        </is>
      </c>
      <c r="O38" s="20" t="inlineStr">
        <is>
          <t>待确认</t>
        </is>
      </c>
      <c r="P38" s="20" t="str"/>
    </row>
    <row r="39">
      <c r="A39" s="20" t="n">
        <v>36</v>
      </c>
      <c r="B39" s="20" t="str"/>
      <c r="C39" s="20" t="str"/>
      <c r="D39" s="20" t="str"/>
      <c r="E39" s="20" t="str"/>
      <c r="F39" s="20" t="str"/>
      <c r="G39" s="20" t="str"/>
      <c r="H39" s="20" t="str"/>
      <c r="I39" s="20" t="str"/>
      <c r="J39" s="20" t="str"/>
      <c r="K39" s="20" t="str"/>
      <c r="L39" s="20" t="inlineStr">
        <is>
          <t>待确认</t>
        </is>
      </c>
      <c r="M39" s="20" t="str"/>
      <c r="N39" s="20" t="inlineStr">
        <is>
          <t>PENDING</t>
        </is>
      </c>
      <c r="O39" s="20" t="inlineStr">
        <is>
          <t>待确认</t>
        </is>
      </c>
      <c r="P39" s="20" t="str"/>
    </row>
    <row r="40">
      <c r="A40" s="20" t="n">
        <v>37</v>
      </c>
      <c r="B40" s="20" t="str"/>
      <c r="C40" s="20" t="str"/>
      <c r="D40" s="20" t="str"/>
      <c r="E40" s="20" t="str"/>
      <c r="F40" s="20" t="str"/>
      <c r="G40" s="20" t="str"/>
      <c r="H40" s="20" t="str"/>
      <c r="I40" s="20" t="str"/>
      <c r="J40" s="20" t="str"/>
      <c r="K40" s="20" t="str"/>
      <c r="L40" s="20" t="inlineStr">
        <is>
          <t>待确认</t>
        </is>
      </c>
      <c r="M40" s="20" t="str"/>
      <c r="N40" s="20" t="inlineStr">
        <is>
          <t>PENDING</t>
        </is>
      </c>
      <c r="O40" s="20" t="inlineStr">
        <is>
          <t>待确认</t>
        </is>
      </c>
      <c r="P40" s="20" t="str"/>
    </row>
    <row r="41">
      <c r="A41" s="20" t="n">
        <v>38</v>
      </c>
      <c r="B41" s="20" t="str"/>
      <c r="C41" s="20" t="str"/>
      <c r="D41" s="20" t="str"/>
      <c r="E41" s="20" t="str"/>
      <c r="F41" s="20" t="str"/>
      <c r="G41" s="20" t="str"/>
      <c r="H41" s="20" t="str"/>
      <c r="I41" s="20" t="str"/>
      <c r="J41" s="20" t="str"/>
      <c r="K41" s="20" t="str"/>
      <c r="L41" s="20" t="inlineStr">
        <is>
          <t>待确认</t>
        </is>
      </c>
      <c r="M41" s="20" t="str"/>
      <c r="N41" s="20" t="inlineStr">
        <is>
          <t>PENDING</t>
        </is>
      </c>
      <c r="O41" s="20" t="inlineStr">
        <is>
          <t>待确认</t>
        </is>
      </c>
      <c r="P41" s="20" t="str"/>
    </row>
    <row r="42">
      <c r="A42" s="20" t="n">
        <v>39</v>
      </c>
      <c r="B42" s="20" t="str"/>
      <c r="C42" s="20" t="str"/>
      <c r="D42" s="20" t="str"/>
      <c r="E42" s="20" t="str"/>
      <c r="F42" s="20" t="str"/>
      <c r="G42" s="20" t="str"/>
      <c r="H42" s="20" t="str"/>
      <c r="I42" s="20" t="str"/>
      <c r="J42" s="20" t="str"/>
      <c r="K42" s="20" t="str"/>
      <c r="L42" s="20" t="inlineStr">
        <is>
          <t>待确认</t>
        </is>
      </c>
      <c r="M42" s="20" t="str"/>
      <c r="N42" s="20" t="inlineStr">
        <is>
          <t>PENDING</t>
        </is>
      </c>
      <c r="O42" s="20" t="inlineStr">
        <is>
          <t>待确认</t>
        </is>
      </c>
      <c r="P42" s="20" t="str"/>
    </row>
    <row r="43">
      <c r="A43" s="20" t="n">
        <v>40</v>
      </c>
      <c r="B43" s="20" t="str"/>
      <c r="C43" s="20" t="str"/>
      <c r="D43" s="20" t="str"/>
      <c r="E43" s="20" t="str"/>
      <c r="F43" s="20" t="str"/>
      <c r="G43" s="20" t="str"/>
      <c r="H43" s="20" t="str"/>
      <c r="I43" s="20" t="str"/>
      <c r="J43" s="20" t="str"/>
      <c r="K43" s="20" t="str"/>
      <c r="L43" s="20" t="inlineStr">
        <is>
          <t>待确认</t>
        </is>
      </c>
      <c r="M43" s="20" t="str"/>
      <c r="N43" s="20" t="inlineStr">
        <is>
          <t>PENDING</t>
        </is>
      </c>
      <c r="O43" s="20" t="inlineStr">
        <is>
          <t>待确认</t>
        </is>
      </c>
      <c r="P43" s="20" t="str"/>
    </row>
    <row r="44">
      <c r="A44" s="20" t="n">
        <v>41</v>
      </c>
      <c r="B44" s="20" t="str"/>
      <c r="C44" s="20" t="str"/>
      <c r="D44" s="20" t="str"/>
      <c r="E44" s="20" t="str"/>
      <c r="F44" s="20" t="str"/>
      <c r="G44" s="20" t="str"/>
      <c r="H44" s="20" t="str"/>
      <c r="I44" s="20" t="str"/>
      <c r="J44" s="20" t="str"/>
      <c r="K44" s="20" t="str"/>
      <c r="L44" s="20" t="inlineStr">
        <is>
          <t>待确认</t>
        </is>
      </c>
      <c r="M44" s="20" t="str"/>
      <c r="N44" s="20" t="inlineStr">
        <is>
          <t>PENDING</t>
        </is>
      </c>
      <c r="O44" s="20" t="inlineStr">
        <is>
          <t>待确认</t>
        </is>
      </c>
      <c r="P44" s="20" t="str"/>
    </row>
    <row r="45">
      <c r="A45" s="20" t="n">
        <v>42</v>
      </c>
      <c r="B45" s="20" t="str"/>
      <c r="C45" s="20" t="str"/>
      <c r="D45" s="20" t="str"/>
      <c r="E45" s="20" t="str"/>
      <c r="F45" s="20" t="str"/>
      <c r="G45" s="20" t="str"/>
      <c r="H45" s="20" t="str"/>
      <c r="I45" s="20" t="str"/>
      <c r="J45" s="20" t="str"/>
      <c r="K45" s="20" t="str"/>
      <c r="L45" s="20" t="inlineStr">
        <is>
          <t>待确认</t>
        </is>
      </c>
      <c r="M45" s="20" t="str"/>
      <c r="N45" s="20" t="inlineStr">
        <is>
          <t>PENDING</t>
        </is>
      </c>
      <c r="O45" s="20" t="inlineStr">
        <is>
          <t>待确认</t>
        </is>
      </c>
      <c r="P45" s="20" t="str"/>
    </row>
    <row r="46">
      <c r="A46" s="20" t="n">
        <v>43</v>
      </c>
      <c r="B46" s="20" t="str"/>
      <c r="C46" s="20" t="str"/>
      <c r="D46" s="20" t="str"/>
      <c r="E46" s="20" t="str"/>
      <c r="F46" s="20" t="str"/>
      <c r="G46" s="20" t="str"/>
      <c r="H46" s="20" t="str"/>
      <c r="I46" s="20" t="str"/>
      <c r="J46" s="20" t="str"/>
      <c r="K46" s="20" t="str"/>
      <c r="L46" s="20" t="inlineStr">
        <is>
          <t>待确认</t>
        </is>
      </c>
      <c r="M46" s="20" t="str"/>
      <c r="N46" s="20" t="inlineStr">
        <is>
          <t>PENDING</t>
        </is>
      </c>
      <c r="O46" s="20" t="inlineStr">
        <is>
          <t>待确认</t>
        </is>
      </c>
      <c r="P46" s="20" t="str"/>
    </row>
    <row r="47">
      <c r="A47" s="20" t="n">
        <v>44</v>
      </c>
      <c r="B47" s="20" t="str"/>
      <c r="C47" s="20" t="str"/>
      <c r="D47" s="20" t="str"/>
      <c r="E47" s="20" t="str"/>
      <c r="F47" s="20" t="str"/>
      <c r="G47" s="20" t="str"/>
      <c r="H47" s="20" t="str"/>
      <c r="I47" s="20" t="str"/>
      <c r="J47" s="20" t="str"/>
      <c r="K47" s="20" t="str"/>
      <c r="L47" s="20" t="inlineStr">
        <is>
          <t>待确认</t>
        </is>
      </c>
      <c r="M47" s="20" t="str"/>
      <c r="N47" s="20" t="inlineStr">
        <is>
          <t>PENDING</t>
        </is>
      </c>
      <c r="O47" s="20" t="inlineStr">
        <is>
          <t>待确认</t>
        </is>
      </c>
      <c r="P47" s="20" t="str"/>
    </row>
    <row r="48">
      <c r="A48" s="20" t="n">
        <v>45</v>
      </c>
      <c r="B48" s="20" t="str"/>
      <c r="C48" s="20" t="str"/>
      <c r="D48" s="20" t="str"/>
      <c r="E48" s="20" t="str"/>
      <c r="F48" s="20" t="str"/>
      <c r="G48" s="20" t="str"/>
      <c r="H48" s="20" t="str"/>
      <c r="I48" s="20" t="str"/>
      <c r="J48" s="20" t="str"/>
      <c r="K48" s="20" t="str"/>
      <c r="L48" s="20" t="inlineStr">
        <is>
          <t>待确认</t>
        </is>
      </c>
      <c r="M48" s="20" t="str"/>
      <c r="N48" s="20" t="inlineStr">
        <is>
          <t>PENDING</t>
        </is>
      </c>
      <c r="O48" s="20" t="inlineStr">
        <is>
          <t>待确认</t>
        </is>
      </c>
      <c r="P48" s="20" t="str"/>
    </row>
    <row r="49">
      <c r="A49" s="20" t="n">
        <v>46</v>
      </c>
      <c r="B49" s="20" t="str"/>
      <c r="C49" s="20" t="str"/>
      <c r="D49" s="20" t="str"/>
      <c r="E49" s="20" t="str"/>
      <c r="F49" s="20" t="str"/>
      <c r="G49" s="20" t="str"/>
      <c r="H49" s="20" t="str"/>
      <c r="I49" s="20" t="str"/>
      <c r="J49" s="20" t="str"/>
      <c r="K49" s="20" t="str"/>
      <c r="L49" s="20" t="inlineStr">
        <is>
          <t>待确认</t>
        </is>
      </c>
      <c r="M49" s="20" t="str"/>
      <c r="N49" s="20" t="inlineStr">
        <is>
          <t>PENDING</t>
        </is>
      </c>
      <c r="O49" s="20" t="inlineStr">
        <is>
          <t>待确认</t>
        </is>
      </c>
      <c r="P49" s="20" t="str"/>
    </row>
    <row r="50">
      <c r="A50" s="20" t="n">
        <v>47</v>
      </c>
      <c r="B50" s="20" t="str"/>
      <c r="C50" s="20" t="str"/>
      <c r="D50" s="20" t="str"/>
      <c r="E50" s="20" t="str"/>
      <c r="F50" s="20" t="str"/>
      <c r="G50" s="20" t="str"/>
      <c r="H50" s="20" t="str"/>
      <c r="I50" s="20" t="str"/>
      <c r="J50" s="20" t="str"/>
      <c r="K50" s="20" t="str"/>
      <c r="L50" s="20" t="inlineStr">
        <is>
          <t>待确认</t>
        </is>
      </c>
      <c r="M50" s="20" t="str"/>
      <c r="N50" s="20" t="inlineStr">
        <is>
          <t>PENDING</t>
        </is>
      </c>
      <c r="O50" s="20" t="inlineStr">
        <is>
          <t>待确认</t>
        </is>
      </c>
      <c r="P50" s="20" t="str"/>
    </row>
    <row r="51">
      <c r="A51" s="20" t="n">
        <v>48</v>
      </c>
      <c r="B51" s="20" t="str"/>
      <c r="C51" s="20" t="str"/>
      <c r="D51" s="20" t="str"/>
      <c r="E51" s="20" t="str"/>
      <c r="F51" s="20" t="str"/>
      <c r="G51" s="20" t="str"/>
      <c r="H51" s="20" t="str"/>
      <c r="I51" s="20" t="str"/>
      <c r="J51" s="20" t="str"/>
      <c r="K51" s="20" t="str"/>
      <c r="L51" s="20" t="inlineStr">
        <is>
          <t>待确认</t>
        </is>
      </c>
      <c r="M51" s="20" t="str"/>
      <c r="N51" s="20" t="inlineStr">
        <is>
          <t>PENDING</t>
        </is>
      </c>
      <c r="O51" s="20" t="inlineStr">
        <is>
          <t>待确认</t>
        </is>
      </c>
      <c r="P51" s="20" t="str"/>
    </row>
    <row r="52">
      <c r="A52" s="20" t="n">
        <v>49</v>
      </c>
      <c r="B52" s="20" t="str"/>
      <c r="C52" s="20" t="str"/>
      <c r="D52" s="20" t="str"/>
      <c r="E52" s="20" t="str"/>
      <c r="F52" s="20" t="str"/>
      <c r="G52" s="20" t="str"/>
      <c r="H52" s="20" t="str"/>
      <c r="I52" s="20" t="str"/>
      <c r="J52" s="20" t="str"/>
      <c r="K52" s="20" t="str"/>
      <c r="L52" s="20" t="inlineStr">
        <is>
          <t>待确认</t>
        </is>
      </c>
      <c r="M52" s="20" t="str"/>
      <c r="N52" s="20" t="inlineStr">
        <is>
          <t>PENDING</t>
        </is>
      </c>
      <c r="O52" s="20" t="inlineStr">
        <is>
          <t>待确认</t>
        </is>
      </c>
      <c r="P52" s="20" t="str"/>
    </row>
    <row r="53">
      <c r="A53" s="20" t="n">
        <v>50</v>
      </c>
      <c r="B53" s="20" t="str"/>
      <c r="C53" s="20" t="str"/>
      <c r="D53" s="20" t="str"/>
      <c r="E53" s="20" t="str"/>
      <c r="F53" s="20" t="str"/>
      <c r="G53" s="20" t="str"/>
      <c r="H53" s="20" t="str"/>
      <c r="I53" s="20" t="str"/>
      <c r="J53" s="20" t="str"/>
      <c r="K53" s="20" t="str"/>
      <c r="L53" s="20" t="inlineStr">
        <is>
          <t>待确认</t>
        </is>
      </c>
      <c r="M53" s="20" t="str"/>
      <c r="N53" s="20" t="inlineStr">
        <is>
          <t>PENDING</t>
        </is>
      </c>
      <c r="O53" s="20" t="inlineStr">
        <is>
          <t>待确认</t>
        </is>
      </c>
      <c r="P53" s="20" t="str"/>
    </row>
    <row r="54">
      <c r="A54" s="20" t="n">
        <v>51</v>
      </c>
      <c r="B54" s="20" t="str"/>
      <c r="C54" s="20" t="str"/>
      <c r="D54" s="20" t="str"/>
      <c r="E54" s="20" t="str"/>
      <c r="F54" s="20" t="str"/>
      <c r="G54" s="20" t="str"/>
      <c r="H54" s="20" t="str"/>
      <c r="I54" s="20" t="str"/>
      <c r="J54" s="20" t="str"/>
      <c r="K54" s="20" t="str"/>
      <c r="L54" s="20" t="inlineStr">
        <is>
          <t>待确认</t>
        </is>
      </c>
      <c r="M54" s="20" t="str"/>
      <c r="N54" s="20" t="inlineStr">
        <is>
          <t>PENDING</t>
        </is>
      </c>
      <c r="O54" s="20" t="inlineStr">
        <is>
          <t>待确认</t>
        </is>
      </c>
      <c r="P54" s="20" t="str"/>
    </row>
    <row r="55">
      <c r="A55" s="20" t="n">
        <v>52</v>
      </c>
      <c r="B55" s="20" t="str"/>
      <c r="C55" s="20" t="str"/>
      <c r="D55" s="20" t="str"/>
      <c r="E55" s="20" t="str"/>
      <c r="F55" s="20" t="str"/>
      <c r="G55" s="20" t="str"/>
      <c r="H55" s="20" t="str"/>
      <c r="I55" s="20" t="str"/>
      <c r="J55" s="20" t="str"/>
      <c r="K55" s="20" t="str"/>
      <c r="L55" s="20" t="inlineStr">
        <is>
          <t>待确认</t>
        </is>
      </c>
      <c r="M55" s="20" t="str"/>
      <c r="N55" s="20" t="inlineStr">
        <is>
          <t>PENDING</t>
        </is>
      </c>
      <c r="O55" s="20" t="inlineStr">
        <is>
          <t>待确认</t>
        </is>
      </c>
      <c r="P55" s="20" t="str"/>
    </row>
    <row r="56">
      <c r="A56" s="20" t="n">
        <v>53</v>
      </c>
      <c r="B56" s="20" t="str"/>
      <c r="C56" s="20" t="str"/>
      <c r="D56" s="20" t="str"/>
      <c r="E56" s="20" t="str"/>
      <c r="F56" s="20" t="str"/>
      <c r="G56" s="20" t="str"/>
      <c r="H56" s="20" t="str"/>
      <c r="I56" s="20" t="str"/>
      <c r="J56" s="20" t="str"/>
      <c r="K56" s="20" t="str"/>
      <c r="L56" s="20" t="inlineStr">
        <is>
          <t>待确认</t>
        </is>
      </c>
      <c r="M56" s="20" t="str"/>
      <c r="N56" s="20" t="inlineStr">
        <is>
          <t>PENDING</t>
        </is>
      </c>
      <c r="O56" s="20" t="inlineStr">
        <is>
          <t>待确认</t>
        </is>
      </c>
      <c r="P56" s="20" t="str"/>
    </row>
    <row r="57">
      <c r="A57" s="20" t="n">
        <v>54</v>
      </c>
      <c r="B57" s="20" t="str"/>
      <c r="C57" s="20" t="str"/>
      <c r="D57" s="20" t="str"/>
      <c r="E57" s="20" t="str"/>
      <c r="F57" s="20" t="str"/>
      <c r="G57" s="20" t="str"/>
      <c r="H57" s="20" t="str"/>
      <c r="I57" s="20" t="str"/>
      <c r="J57" s="20" t="str"/>
      <c r="K57" s="20" t="str"/>
      <c r="L57" s="20" t="inlineStr">
        <is>
          <t>待确认</t>
        </is>
      </c>
      <c r="M57" s="20" t="str"/>
      <c r="N57" s="20" t="inlineStr">
        <is>
          <t>PENDING</t>
        </is>
      </c>
      <c r="O57" s="20" t="inlineStr">
        <is>
          <t>待确认</t>
        </is>
      </c>
      <c r="P57" s="20" t="str"/>
    </row>
    <row r="58">
      <c r="A58" s="20" t="n">
        <v>55</v>
      </c>
      <c r="B58" s="20" t="str"/>
      <c r="C58" s="20" t="str"/>
      <c r="D58" s="20" t="str"/>
      <c r="E58" s="20" t="str"/>
      <c r="F58" s="20" t="str"/>
      <c r="G58" s="20" t="str"/>
      <c r="H58" s="20" t="str"/>
      <c r="I58" s="20" t="str"/>
      <c r="J58" s="20" t="str"/>
      <c r="K58" s="20" t="str"/>
      <c r="L58" s="20" t="inlineStr">
        <is>
          <t>待确认</t>
        </is>
      </c>
      <c r="M58" s="20" t="str"/>
      <c r="N58" s="20" t="inlineStr">
        <is>
          <t>PENDING</t>
        </is>
      </c>
      <c r="O58" s="20" t="inlineStr">
        <is>
          <t>待确认</t>
        </is>
      </c>
      <c r="P58" s="20" t="str"/>
    </row>
    <row r="59">
      <c r="A59" s="20" t="n">
        <v>56</v>
      </c>
      <c r="B59" s="20" t="str"/>
      <c r="C59" s="20" t="str"/>
      <c r="D59" s="20" t="str"/>
      <c r="E59" s="20" t="str"/>
      <c r="F59" s="20" t="str"/>
      <c r="G59" s="20" t="str"/>
      <c r="H59" s="20" t="str"/>
      <c r="I59" s="20" t="str"/>
      <c r="J59" s="20" t="str"/>
      <c r="K59" s="20" t="str"/>
      <c r="L59" s="20" t="inlineStr">
        <is>
          <t>待确认</t>
        </is>
      </c>
      <c r="M59" s="20" t="str"/>
      <c r="N59" s="20" t="inlineStr">
        <is>
          <t>PENDING</t>
        </is>
      </c>
      <c r="O59" s="20" t="inlineStr">
        <is>
          <t>待确认</t>
        </is>
      </c>
      <c r="P59" s="20" t="str"/>
    </row>
    <row r="60">
      <c r="A60" s="20" t="n">
        <v>57</v>
      </c>
      <c r="B60" s="20" t="str"/>
      <c r="C60" s="20" t="str"/>
      <c r="D60" s="20" t="str"/>
      <c r="E60" s="20" t="str"/>
      <c r="F60" s="20" t="str"/>
      <c r="G60" s="20" t="str"/>
      <c r="H60" s="20" t="str"/>
      <c r="I60" s="20" t="str"/>
      <c r="J60" s="20" t="str"/>
      <c r="K60" s="20" t="str"/>
      <c r="L60" s="20" t="inlineStr">
        <is>
          <t>待确认</t>
        </is>
      </c>
      <c r="M60" s="20" t="str"/>
      <c r="N60" s="20" t="inlineStr">
        <is>
          <t>PENDING</t>
        </is>
      </c>
      <c r="O60" s="20" t="inlineStr">
        <is>
          <t>待确认</t>
        </is>
      </c>
      <c r="P60" s="20" t="str"/>
    </row>
    <row r="61">
      <c r="A61" s="20" t="n">
        <v>58</v>
      </c>
      <c r="B61" s="20" t="str"/>
      <c r="C61" s="20" t="str"/>
      <c r="D61" s="20" t="str"/>
      <c r="E61" s="20" t="str"/>
      <c r="F61" s="20" t="str"/>
      <c r="G61" s="20" t="str"/>
      <c r="H61" s="20" t="str"/>
      <c r="I61" s="20" t="str"/>
      <c r="J61" s="20" t="str"/>
      <c r="K61" s="20" t="str"/>
      <c r="L61" s="20" t="inlineStr">
        <is>
          <t>待确认</t>
        </is>
      </c>
      <c r="M61" s="20" t="str"/>
      <c r="N61" s="20" t="inlineStr">
        <is>
          <t>PENDING</t>
        </is>
      </c>
      <c r="O61" s="20" t="inlineStr">
        <is>
          <t>待确认</t>
        </is>
      </c>
      <c r="P61" s="20" t="str"/>
    </row>
    <row r="62">
      <c r="A62" s="20" t="n">
        <v>59</v>
      </c>
      <c r="B62" s="20" t="str"/>
      <c r="C62" s="20" t="str"/>
      <c r="D62" s="20" t="str"/>
      <c r="E62" s="20" t="str"/>
      <c r="F62" s="20" t="str"/>
      <c r="G62" s="20" t="str"/>
      <c r="H62" s="20" t="str"/>
      <c r="I62" s="20" t="str"/>
      <c r="J62" s="20" t="str"/>
      <c r="K62" s="20" t="str"/>
      <c r="L62" s="20" t="inlineStr">
        <is>
          <t>待确认</t>
        </is>
      </c>
      <c r="M62" s="20" t="str"/>
      <c r="N62" s="20" t="inlineStr">
        <is>
          <t>PENDING</t>
        </is>
      </c>
      <c r="O62" s="20" t="inlineStr">
        <is>
          <t>待确认</t>
        </is>
      </c>
      <c r="P62" s="20" t="str"/>
    </row>
    <row r="63">
      <c r="A63" s="20" t="n">
        <v>60</v>
      </c>
      <c r="B63" s="20" t="str"/>
      <c r="C63" s="20" t="str"/>
      <c r="D63" s="20" t="str"/>
      <c r="E63" s="20" t="str"/>
      <c r="F63" s="20" t="str"/>
      <c r="G63" s="20" t="str"/>
      <c r="H63" s="20" t="str"/>
      <c r="I63" s="20" t="str"/>
      <c r="J63" s="20" t="str"/>
      <c r="K63" s="20" t="str"/>
      <c r="L63" s="20" t="inlineStr">
        <is>
          <t>待确认</t>
        </is>
      </c>
      <c r="M63" s="20" t="str"/>
      <c r="N63" s="20" t="inlineStr">
        <is>
          <t>PENDING</t>
        </is>
      </c>
      <c r="O63" s="20" t="inlineStr">
        <is>
          <t>待确认</t>
        </is>
      </c>
      <c r="P63" s="20" t="str"/>
    </row>
    <row r="64">
      <c r="A64" s="20" t="n">
        <v>61</v>
      </c>
      <c r="B64" s="20" t="str"/>
      <c r="C64" s="20" t="str"/>
      <c r="D64" s="20" t="str"/>
      <c r="E64" s="20" t="str"/>
      <c r="F64" s="20" t="str"/>
      <c r="G64" s="20" t="str"/>
      <c r="H64" s="20" t="str"/>
      <c r="I64" s="20" t="str"/>
      <c r="J64" s="20" t="str"/>
      <c r="K64" s="20" t="str"/>
      <c r="L64" s="20" t="inlineStr">
        <is>
          <t>待确认</t>
        </is>
      </c>
      <c r="M64" s="20" t="str"/>
      <c r="N64" s="20" t="inlineStr">
        <is>
          <t>PENDING</t>
        </is>
      </c>
      <c r="O64" s="20" t="inlineStr">
        <is>
          <t>待确认</t>
        </is>
      </c>
      <c r="P64" s="20" t="str"/>
    </row>
    <row r="65">
      <c r="A65" s="20" t="n">
        <v>62</v>
      </c>
      <c r="B65" s="20" t="str"/>
      <c r="C65" s="20" t="str"/>
      <c r="D65" s="20" t="str"/>
      <c r="E65" s="20" t="str"/>
      <c r="F65" s="20" t="str"/>
      <c r="G65" s="20" t="str"/>
      <c r="H65" s="20" t="str"/>
      <c r="I65" s="20" t="str"/>
      <c r="J65" s="20" t="str"/>
      <c r="K65" s="20" t="str"/>
      <c r="L65" s="20" t="inlineStr">
        <is>
          <t>待确认</t>
        </is>
      </c>
      <c r="M65" s="20" t="str"/>
      <c r="N65" s="20" t="inlineStr">
        <is>
          <t>PENDING</t>
        </is>
      </c>
      <c r="O65" s="20" t="inlineStr">
        <is>
          <t>待确认</t>
        </is>
      </c>
      <c r="P65" s="20" t="str"/>
    </row>
    <row r="66">
      <c r="A66" s="20" t="n">
        <v>63</v>
      </c>
      <c r="B66" s="20" t="str"/>
      <c r="C66" s="20" t="str"/>
      <c r="D66" s="20" t="str"/>
      <c r="E66" s="20" t="str"/>
      <c r="F66" s="20" t="str"/>
      <c r="G66" s="20" t="str"/>
      <c r="H66" s="20" t="str"/>
      <c r="I66" s="20" t="str"/>
      <c r="J66" s="20" t="str"/>
      <c r="K66" s="20" t="str"/>
      <c r="L66" s="20" t="inlineStr">
        <is>
          <t>待确认</t>
        </is>
      </c>
      <c r="M66" s="20" t="str"/>
      <c r="N66" s="20" t="inlineStr">
        <is>
          <t>PENDING</t>
        </is>
      </c>
      <c r="O66" s="20" t="inlineStr">
        <is>
          <t>待确认</t>
        </is>
      </c>
      <c r="P66" s="20" t="str"/>
    </row>
    <row r="67">
      <c r="A67" s="20" t="n">
        <v>64</v>
      </c>
      <c r="B67" s="20" t="str"/>
      <c r="C67" s="20" t="str"/>
      <c r="D67" s="20" t="str"/>
      <c r="E67" s="20" t="str"/>
      <c r="F67" s="20" t="str"/>
      <c r="G67" s="20" t="str"/>
      <c r="H67" s="20" t="str"/>
      <c r="I67" s="20" t="str"/>
      <c r="J67" s="20" t="str"/>
      <c r="K67" s="20" t="str"/>
      <c r="L67" s="20" t="inlineStr">
        <is>
          <t>待确认</t>
        </is>
      </c>
      <c r="M67" s="20" t="str"/>
      <c r="N67" s="20" t="inlineStr">
        <is>
          <t>PENDING</t>
        </is>
      </c>
      <c r="O67" s="20" t="inlineStr">
        <is>
          <t>待确认</t>
        </is>
      </c>
      <c r="P67" s="20" t="str"/>
    </row>
    <row r="68">
      <c r="A68" s="20" t="n">
        <v>65</v>
      </c>
      <c r="B68" s="20" t="str"/>
      <c r="C68" s="20" t="str"/>
      <c r="D68" s="20" t="str"/>
      <c r="E68" s="20" t="str"/>
      <c r="F68" s="20" t="str"/>
      <c r="G68" s="20" t="str"/>
      <c r="H68" s="20" t="str"/>
      <c r="I68" s="20" t="str"/>
      <c r="J68" s="20" t="str"/>
      <c r="K68" s="20" t="str"/>
      <c r="L68" s="20" t="inlineStr">
        <is>
          <t>待确认</t>
        </is>
      </c>
      <c r="M68" s="20" t="str"/>
      <c r="N68" s="20" t="inlineStr">
        <is>
          <t>PENDING</t>
        </is>
      </c>
      <c r="O68" s="20" t="inlineStr">
        <is>
          <t>待确认</t>
        </is>
      </c>
      <c r="P68" s="20" t="str"/>
    </row>
    <row r="69">
      <c r="A69" s="20" t="n">
        <v>66</v>
      </c>
      <c r="B69" s="20" t="str"/>
      <c r="C69" s="20" t="str"/>
      <c r="D69" s="20" t="str"/>
      <c r="E69" s="20" t="str"/>
      <c r="F69" s="20" t="str"/>
      <c r="G69" s="20" t="str"/>
      <c r="H69" s="20" t="str"/>
      <c r="I69" s="20" t="str"/>
      <c r="J69" s="20" t="str"/>
      <c r="K69" s="20" t="str"/>
      <c r="L69" s="20" t="inlineStr">
        <is>
          <t>待确认</t>
        </is>
      </c>
      <c r="M69" s="20" t="str"/>
      <c r="N69" s="20" t="inlineStr">
        <is>
          <t>PENDING</t>
        </is>
      </c>
      <c r="O69" s="20" t="inlineStr">
        <is>
          <t>待确认</t>
        </is>
      </c>
      <c r="P69" s="20" t="str"/>
    </row>
    <row r="70">
      <c r="A70" s="20" t="n">
        <v>67</v>
      </c>
      <c r="B70" s="20" t="str"/>
      <c r="C70" s="20" t="str"/>
      <c r="D70" s="20" t="str"/>
      <c r="E70" s="20" t="str"/>
      <c r="F70" s="20" t="str"/>
      <c r="G70" s="20" t="str"/>
      <c r="H70" s="20" t="str"/>
      <c r="I70" s="20" t="str"/>
      <c r="J70" s="20" t="str"/>
      <c r="K70" s="20" t="str"/>
      <c r="L70" s="20" t="inlineStr">
        <is>
          <t>待确认</t>
        </is>
      </c>
      <c r="M70" s="20" t="str"/>
      <c r="N70" s="20" t="inlineStr">
        <is>
          <t>PENDING</t>
        </is>
      </c>
      <c r="O70" s="20" t="inlineStr">
        <is>
          <t>待确认</t>
        </is>
      </c>
      <c r="P70" s="20" t="str"/>
    </row>
    <row r="71">
      <c r="A71" s="20" t="n">
        <v>68</v>
      </c>
      <c r="B71" s="20" t="str"/>
      <c r="C71" s="20" t="str"/>
      <c r="D71" s="20" t="str"/>
      <c r="E71" s="20" t="str"/>
      <c r="F71" s="20" t="str"/>
      <c r="G71" s="20" t="str"/>
      <c r="H71" s="20" t="str"/>
      <c r="I71" s="20" t="str"/>
      <c r="J71" s="20" t="str"/>
      <c r="K71" s="20" t="str"/>
      <c r="L71" s="20" t="inlineStr">
        <is>
          <t>待确认</t>
        </is>
      </c>
      <c r="M71" s="20" t="str"/>
      <c r="N71" s="20" t="inlineStr">
        <is>
          <t>PENDING</t>
        </is>
      </c>
      <c r="O71" s="20" t="inlineStr">
        <is>
          <t>待确认</t>
        </is>
      </c>
      <c r="P71" s="20" t="str"/>
    </row>
    <row r="72">
      <c r="A72" s="20" t="n">
        <v>69</v>
      </c>
      <c r="B72" s="20" t="str"/>
      <c r="C72" s="20" t="str"/>
      <c r="D72" s="20" t="str"/>
      <c r="E72" s="20" t="str"/>
      <c r="F72" s="20" t="str"/>
      <c r="G72" s="20" t="str"/>
      <c r="H72" s="20" t="str"/>
      <c r="I72" s="20" t="str"/>
      <c r="J72" s="20" t="str"/>
      <c r="K72" s="20" t="str"/>
      <c r="L72" s="20" t="inlineStr">
        <is>
          <t>待确认</t>
        </is>
      </c>
      <c r="M72" s="20" t="str"/>
      <c r="N72" s="20" t="inlineStr">
        <is>
          <t>PENDING</t>
        </is>
      </c>
      <c r="O72" s="20" t="inlineStr">
        <is>
          <t>待确认</t>
        </is>
      </c>
      <c r="P72" s="20" t="str"/>
    </row>
    <row r="73">
      <c r="A73" s="20" t="n">
        <v>70</v>
      </c>
      <c r="B73" s="20" t="str"/>
      <c r="C73" s="20" t="str"/>
      <c r="D73" s="20" t="str"/>
      <c r="E73" s="20" t="str"/>
      <c r="F73" s="20" t="str"/>
      <c r="G73" s="20" t="str"/>
      <c r="H73" s="20" t="str"/>
      <c r="I73" s="20" t="str"/>
      <c r="J73" s="20" t="str"/>
      <c r="K73" s="20" t="str"/>
      <c r="L73" s="20" t="inlineStr">
        <is>
          <t>待确认</t>
        </is>
      </c>
      <c r="M73" s="20" t="str"/>
      <c r="N73" s="20" t="inlineStr">
        <is>
          <t>PENDING</t>
        </is>
      </c>
      <c r="O73" s="20" t="inlineStr">
        <is>
          <t>待确认</t>
        </is>
      </c>
      <c r="P73" s="20" t="str"/>
    </row>
    <row r="74">
      <c r="A74" s="20" t="n">
        <v>71</v>
      </c>
      <c r="B74" s="20" t="str"/>
      <c r="C74" s="20" t="str"/>
      <c r="D74" s="20" t="str"/>
      <c r="E74" s="20" t="str"/>
      <c r="F74" s="20" t="str"/>
      <c r="G74" s="20" t="str"/>
      <c r="H74" s="20" t="str"/>
      <c r="I74" s="20" t="str"/>
      <c r="J74" s="20" t="str"/>
      <c r="K74" s="20" t="str"/>
      <c r="L74" s="20" t="inlineStr">
        <is>
          <t>待确认</t>
        </is>
      </c>
      <c r="M74" s="20" t="str"/>
      <c r="N74" s="20" t="inlineStr">
        <is>
          <t>PENDING</t>
        </is>
      </c>
      <c r="O74" s="20" t="inlineStr">
        <is>
          <t>待确认</t>
        </is>
      </c>
      <c r="P74" s="20" t="str"/>
    </row>
    <row r="75">
      <c r="A75" s="20" t="n">
        <v>72</v>
      </c>
      <c r="B75" s="20" t="str"/>
      <c r="C75" s="20" t="str"/>
      <c r="D75" s="20" t="str"/>
      <c r="E75" s="20" t="str"/>
      <c r="F75" s="20" t="str"/>
      <c r="G75" s="20" t="str"/>
      <c r="H75" s="20" t="str"/>
      <c r="I75" s="20" t="str"/>
      <c r="J75" s="20" t="str"/>
      <c r="K75" s="20" t="str"/>
      <c r="L75" s="20" t="inlineStr">
        <is>
          <t>待确认</t>
        </is>
      </c>
      <c r="M75" s="20" t="str"/>
      <c r="N75" s="20" t="inlineStr">
        <is>
          <t>PENDING</t>
        </is>
      </c>
      <c r="O75" s="20" t="inlineStr">
        <is>
          <t>待确认</t>
        </is>
      </c>
      <c r="P75" s="20" t="str"/>
    </row>
    <row r="76">
      <c r="A76" s="20" t="n">
        <v>73</v>
      </c>
      <c r="B76" s="20" t="str"/>
      <c r="C76" s="20" t="str"/>
      <c r="D76" s="20" t="str"/>
      <c r="E76" s="20" t="str"/>
      <c r="F76" s="20" t="str"/>
      <c r="G76" s="20" t="str"/>
      <c r="H76" s="20" t="str"/>
      <c r="I76" s="20" t="str"/>
      <c r="J76" s="20" t="str"/>
      <c r="K76" s="20" t="str"/>
      <c r="L76" s="20" t="inlineStr">
        <is>
          <t>待确认</t>
        </is>
      </c>
      <c r="M76" s="20" t="str"/>
      <c r="N76" s="20" t="inlineStr">
        <is>
          <t>PENDING</t>
        </is>
      </c>
      <c r="O76" s="20" t="inlineStr">
        <is>
          <t>待确认</t>
        </is>
      </c>
      <c r="P76" s="20" t="str"/>
    </row>
    <row r="77">
      <c r="A77" s="20" t="n">
        <v>74</v>
      </c>
      <c r="B77" s="20" t="str"/>
      <c r="C77" s="20" t="str"/>
      <c r="D77" s="20" t="str"/>
      <c r="E77" s="20" t="str"/>
      <c r="F77" s="20" t="str"/>
      <c r="G77" s="20" t="str"/>
      <c r="H77" s="20" t="str"/>
      <c r="I77" s="20" t="str"/>
      <c r="J77" s="20" t="str"/>
      <c r="K77" s="20" t="str"/>
      <c r="L77" s="20" t="inlineStr">
        <is>
          <t>待确认</t>
        </is>
      </c>
      <c r="M77" s="20" t="str"/>
      <c r="N77" s="20" t="inlineStr">
        <is>
          <t>PENDING</t>
        </is>
      </c>
      <c r="O77" s="20" t="inlineStr">
        <is>
          <t>待确认</t>
        </is>
      </c>
      <c r="P77" s="20" t="str"/>
    </row>
    <row r="78">
      <c r="A78" s="20" t="n">
        <v>75</v>
      </c>
      <c r="B78" s="20" t="str"/>
      <c r="C78" s="20" t="str"/>
      <c r="D78" s="20" t="str"/>
      <c r="E78" s="20" t="str"/>
      <c r="F78" s="20" t="str"/>
      <c r="G78" s="20" t="str"/>
      <c r="H78" s="20" t="str"/>
      <c r="I78" s="20" t="str"/>
      <c r="J78" s="20" t="str"/>
      <c r="K78" s="20" t="str"/>
      <c r="L78" s="20" t="inlineStr">
        <is>
          <t>待确认</t>
        </is>
      </c>
      <c r="M78" s="20" t="str"/>
      <c r="N78" s="20" t="inlineStr">
        <is>
          <t>PENDING</t>
        </is>
      </c>
      <c r="O78" s="20" t="inlineStr">
        <is>
          <t>待确认</t>
        </is>
      </c>
      <c r="P78" s="20" t="str"/>
    </row>
    <row r="79">
      <c r="A79" s="20" t="n">
        <v>76</v>
      </c>
      <c r="B79" s="20" t="str"/>
      <c r="C79" s="20" t="str"/>
      <c r="D79" s="20" t="str"/>
      <c r="E79" s="20" t="str"/>
      <c r="F79" s="20" t="str"/>
      <c r="G79" s="20" t="str"/>
      <c r="H79" s="20" t="str"/>
      <c r="I79" s="20" t="str"/>
      <c r="J79" s="20" t="str"/>
      <c r="K79" s="20" t="str"/>
      <c r="L79" s="20" t="inlineStr">
        <is>
          <t>待确认</t>
        </is>
      </c>
      <c r="M79" s="20" t="str"/>
      <c r="N79" s="20" t="inlineStr">
        <is>
          <t>PENDING</t>
        </is>
      </c>
      <c r="O79" s="20" t="inlineStr">
        <is>
          <t>待确认</t>
        </is>
      </c>
      <c r="P79" s="20" t="str"/>
    </row>
    <row r="80">
      <c r="A80" s="20" t="n">
        <v>77</v>
      </c>
      <c r="B80" s="20" t="str"/>
      <c r="C80" s="20" t="str"/>
      <c r="D80" s="20" t="str"/>
      <c r="E80" s="20" t="str"/>
      <c r="F80" s="20" t="str"/>
      <c r="G80" s="20" t="str"/>
      <c r="H80" s="20" t="str"/>
      <c r="I80" s="20" t="str"/>
      <c r="J80" s="20" t="str"/>
      <c r="K80" s="20" t="str"/>
      <c r="L80" s="20" t="inlineStr">
        <is>
          <t>待确认</t>
        </is>
      </c>
      <c r="M80" s="20" t="str"/>
      <c r="N80" s="20" t="inlineStr">
        <is>
          <t>PENDING</t>
        </is>
      </c>
      <c r="O80" s="20" t="inlineStr">
        <is>
          <t>待确认</t>
        </is>
      </c>
      <c r="P80" s="20" t="str"/>
    </row>
    <row r="81">
      <c r="A81" s="20" t="n">
        <v>78</v>
      </c>
      <c r="B81" s="20" t="str"/>
      <c r="C81" s="20" t="str"/>
      <c r="D81" s="20" t="str"/>
      <c r="E81" s="20" t="str"/>
      <c r="F81" s="20" t="str"/>
      <c r="G81" s="20" t="str"/>
      <c r="H81" s="20" t="str"/>
      <c r="I81" s="20" t="str"/>
      <c r="J81" s="20" t="str"/>
      <c r="K81" s="20" t="str"/>
      <c r="L81" s="20" t="inlineStr">
        <is>
          <t>待确认</t>
        </is>
      </c>
      <c r="M81" s="20" t="str"/>
      <c r="N81" s="20" t="inlineStr">
        <is>
          <t>PENDING</t>
        </is>
      </c>
      <c r="O81" s="20" t="inlineStr">
        <is>
          <t>待确认</t>
        </is>
      </c>
      <c r="P81" s="20" t="str"/>
    </row>
    <row r="82">
      <c r="A82" s="20" t="n">
        <v>79</v>
      </c>
      <c r="B82" s="20" t="str"/>
      <c r="C82" s="20" t="str"/>
      <c r="D82" s="20" t="str"/>
      <c r="E82" s="20" t="str"/>
      <c r="F82" s="20" t="str"/>
      <c r="G82" s="20" t="str"/>
      <c r="H82" s="20" t="str"/>
      <c r="I82" s="20" t="str"/>
      <c r="J82" s="20" t="str"/>
      <c r="K82" s="20" t="str"/>
      <c r="L82" s="20" t="inlineStr">
        <is>
          <t>待确认</t>
        </is>
      </c>
      <c r="M82" s="20" t="str"/>
      <c r="N82" s="20" t="inlineStr">
        <is>
          <t>PENDING</t>
        </is>
      </c>
      <c r="O82" s="20" t="inlineStr">
        <is>
          <t>待确认</t>
        </is>
      </c>
      <c r="P82" s="20" t="str"/>
    </row>
    <row r="83">
      <c r="A83" s="20" t="n">
        <v>80</v>
      </c>
      <c r="B83" s="20" t="str"/>
      <c r="C83" s="20" t="str"/>
      <c r="D83" s="20" t="str"/>
      <c r="E83" s="20" t="str"/>
      <c r="F83" s="20" t="str"/>
      <c r="G83" s="20" t="str"/>
      <c r="H83" s="20" t="str"/>
      <c r="I83" s="20" t="str"/>
      <c r="J83" s="20" t="str"/>
      <c r="K83" s="20" t="str"/>
      <c r="L83" s="20" t="inlineStr">
        <is>
          <t>待确认</t>
        </is>
      </c>
      <c r="M83" s="20" t="str"/>
      <c r="N83" s="20" t="inlineStr">
        <is>
          <t>PENDING</t>
        </is>
      </c>
      <c r="O83" s="20" t="inlineStr">
        <is>
          <t>待确认</t>
        </is>
      </c>
      <c r="P83" s="20" t="str"/>
    </row>
    <row r="84">
      <c r="A84" s="20" t="n">
        <v>81</v>
      </c>
      <c r="B84" s="20" t="str"/>
      <c r="C84" s="20" t="str"/>
      <c r="D84" s="20" t="str"/>
      <c r="E84" s="20" t="str"/>
      <c r="F84" s="20" t="str"/>
      <c r="G84" s="20" t="str"/>
      <c r="H84" s="20" t="str"/>
      <c r="I84" s="20" t="str"/>
      <c r="J84" s="20" t="str"/>
      <c r="K84" s="20" t="str"/>
      <c r="L84" s="20" t="inlineStr">
        <is>
          <t>待确认</t>
        </is>
      </c>
      <c r="M84" s="20" t="str"/>
      <c r="N84" s="20" t="inlineStr">
        <is>
          <t>PENDING</t>
        </is>
      </c>
      <c r="O84" s="20" t="inlineStr">
        <is>
          <t>待确认</t>
        </is>
      </c>
      <c r="P84" s="20" t="str"/>
    </row>
    <row r="85">
      <c r="A85" s="20" t="n">
        <v>82</v>
      </c>
      <c r="B85" s="20" t="str"/>
      <c r="C85" s="20" t="str"/>
      <c r="D85" s="20" t="str"/>
      <c r="E85" s="20" t="str"/>
      <c r="F85" s="20" t="str"/>
      <c r="G85" s="20" t="str"/>
      <c r="H85" s="20" t="str"/>
      <c r="I85" s="20" t="str"/>
      <c r="J85" s="20" t="str"/>
      <c r="K85" s="20" t="str"/>
      <c r="L85" s="20" t="inlineStr">
        <is>
          <t>待确认</t>
        </is>
      </c>
      <c r="M85" s="20" t="str"/>
      <c r="N85" s="20" t="inlineStr">
        <is>
          <t>PENDING</t>
        </is>
      </c>
      <c r="O85" s="20" t="inlineStr">
        <is>
          <t>待确认</t>
        </is>
      </c>
      <c r="P85" s="20" t="str"/>
    </row>
    <row r="86">
      <c r="A86" s="20" t="n">
        <v>83</v>
      </c>
      <c r="B86" s="20" t="str"/>
      <c r="C86" s="20" t="str"/>
      <c r="D86" s="20" t="str"/>
      <c r="E86" s="20" t="str"/>
      <c r="F86" s="20" t="str"/>
      <c r="G86" s="20" t="str"/>
      <c r="H86" s="20" t="str"/>
      <c r="I86" s="20" t="str"/>
      <c r="J86" s="20" t="str"/>
      <c r="K86" s="20" t="str"/>
      <c r="L86" s="20" t="inlineStr">
        <is>
          <t>待确认</t>
        </is>
      </c>
      <c r="M86" s="20" t="str"/>
      <c r="N86" s="20" t="inlineStr">
        <is>
          <t>PENDING</t>
        </is>
      </c>
      <c r="O86" s="20" t="inlineStr">
        <is>
          <t>待确认</t>
        </is>
      </c>
      <c r="P86" s="20" t="str"/>
    </row>
    <row r="87">
      <c r="A87" s="20" t="n">
        <v>84</v>
      </c>
      <c r="B87" s="20" t="str"/>
      <c r="C87" s="20" t="str"/>
      <c r="D87" s="20" t="str"/>
      <c r="E87" s="20" t="str"/>
      <c r="F87" s="20" t="str"/>
      <c r="G87" s="20" t="str"/>
      <c r="H87" s="20" t="str"/>
      <c r="I87" s="20" t="str"/>
      <c r="J87" s="20" t="str"/>
      <c r="K87" s="20" t="str"/>
      <c r="L87" s="20" t="inlineStr">
        <is>
          <t>待确认</t>
        </is>
      </c>
      <c r="M87" s="20" t="str"/>
      <c r="N87" s="20" t="inlineStr">
        <is>
          <t>PENDING</t>
        </is>
      </c>
      <c r="O87" s="20" t="inlineStr">
        <is>
          <t>待确认</t>
        </is>
      </c>
      <c r="P87" s="20" t="str"/>
    </row>
    <row r="88">
      <c r="A88" s="20" t="n">
        <v>85</v>
      </c>
      <c r="B88" s="20" t="str"/>
      <c r="C88" s="20" t="str"/>
      <c r="D88" s="20" t="str"/>
      <c r="E88" s="20" t="str"/>
      <c r="F88" s="20" t="str"/>
      <c r="G88" s="20" t="str"/>
      <c r="H88" s="20" t="str"/>
      <c r="I88" s="20" t="str"/>
      <c r="J88" s="20" t="str"/>
      <c r="K88" s="20" t="str"/>
      <c r="L88" s="20" t="inlineStr">
        <is>
          <t>待确认</t>
        </is>
      </c>
      <c r="M88" s="20" t="str"/>
      <c r="N88" s="20" t="inlineStr">
        <is>
          <t>PENDING</t>
        </is>
      </c>
      <c r="O88" s="20" t="inlineStr">
        <is>
          <t>待确认</t>
        </is>
      </c>
      <c r="P88" s="20" t="str"/>
    </row>
    <row r="89">
      <c r="A89" s="20" t="n">
        <v>86</v>
      </c>
      <c r="B89" s="20" t="str"/>
      <c r="C89" s="20" t="str"/>
      <c r="D89" s="20" t="str"/>
      <c r="E89" s="20" t="str"/>
      <c r="F89" s="20" t="str"/>
      <c r="G89" s="20" t="str"/>
      <c r="H89" s="20" t="str"/>
      <c r="I89" s="20" t="str"/>
      <c r="J89" s="20" t="str"/>
      <c r="K89" s="20" t="str"/>
      <c r="L89" s="20" t="inlineStr">
        <is>
          <t>待确认</t>
        </is>
      </c>
      <c r="M89" s="20" t="str"/>
      <c r="N89" s="20" t="inlineStr">
        <is>
          <t>PENDING</t>
        </is>
      </c>
      <c r="O89" s="20" t="inlineStr">
        <is>
          <t>待确认</t>
        </is>
      </c>
      <c r="P89" s="20" t="str"/>
    </row>
    <row r="90">
      <c r="A90" s="20" t="n">
        <v>87</v>
      </c>
      <c r="B90" s="20" t="str"/>
      <c r="C90" s="20" t="str"/>
      <c r="D90" s="20" t="str"/>
      <c r="E90" s="20" t="str"/>
      <c r="F90" s="20" t="str"/>
      <c r="G90" s="20" t="str"/>
      <c r="H90" s="20" t="str"/>
      <c r="I90" s="20" t="str"/>
      <c r="J90" s="20" t="str"/>
      <c r="K90" s="20" t="str"/>
      <c r="L90" s="20" t="inlineStr">
        <is>
          <t>待确认</t>
        </is>
      </c>
      <c r="M90" s="20" t="str"/>
      <c r="N90" s="20" t="inlineStr">
        <is>
          <t>PENDING</t>
        </is>
      </c>
      <c r="O90" s="20" t="inlineStr">
        <is>
          <t>待确认</t>
        </is>
      </c>
      <c r="P90" s="20" t="str"/>
    </row>
    <row r="91">
      <c r="A91" s="20" t="n">
        <v>88</v>
      </c>
      <c r="B91" s="20" t="str"/>
      <c r="C91" s="20" t="str"/>
      <c r="D91" s="20" t="str"/>
      <c r="E91" s="20" t="str"/>
      <c r="F91" s="20" t="str"/>
      <c r="G91" s="20" t="str"/>
      <c r="H91" s="20" t="str"/>
      <c r="I91" s="20" t="str"/>
      <c r="J91" s="20" t="str"/>
      <c r="K91" s="20" t="str"/>
      <c r="L91" s="20" t="inlineStr">
        <is>
          <t>待确认</t>
        </is>
      </c>
      <c r="M91" s="20" t="str"/>
      <c r="N91" s="20" t="inlineStr">
        <is>
          <t>PENDING</t>
        </is>
      </c>
      <c r="O91" s="20" t="inlineStr">
        <is>
          <t>待确认</t>
        </is>
      </c>
      <c r="P91" s="20" t="str"/>
    </row>
    <row r="92">
      <c r="A92" s="20" t="n">
        <v>89</v>
      </c>
      <c r="B92" s="20" t="str"/>
      <c r="C92" s="20" t="str"/>
      <c r="D92" s="20" t="str"/>
      <c r="E92" s="20" t="str"/>
      <c r="F92" s="20" t="str"/>
      <c r="G92" s="20" t="str"/>
      <c r="H92" s="20" t="str"/>
      <c r="I92" s="20" t="str"/>
      <c r="J92" s="20" t="str"/>
      <c r="K92" s="20" t="str"/>
      <c r="L92" s="20" t="inlineStr">
        <is>
          <t>待确认</t>
        </is>
      </c>
      <c r="M92" s="20" t="str"/>
      <c r="N92" s="20" t="inlineStr">
        <is>
          <t>PENDING</t>
        </is>
      </c>
      <c r="O92" s="20" t="inlineStr">
        <is>
          <t>待确认</t>
        </is>
      </c>
      <c r="P92" s="20" t="str"/>
    </row>
    <row r="93">
      <c r="A93" s="20" t="n">
        <v>90</v>
      </c>
      <c r="B93" s="20" t="str"/>
      <c r="C93" s="20" t="str"/>
      <c r="D93" s="20" t="str"/>
      <c r="E93" s="20" t="str"/>
      <c r="F93" s="20" t="str"/>
      <c r="G93" s="20" t="str"/>
      <c r="H93" s="20" t="str"/>
      <c r="I93" s="20" t="str"/>
      <c r="J93" s="20" t="str"/>
      <c r="K93" s="20" t="str"/>
      <c r="L93" s="20" t="inlineStr">
        <is>
          <t>待确认</t>
        </is>
      </c>
      <c r="M93" s="20" t="str"/>
      <c r="N93" s="20" t="inlineStr">
        <is>
          <t>PENDING</t>
        </is>
      </c>
      <c r="O93" s="20" t="inlineStr">
        <is>
          <t>待确认</t>
        </is>
      </c>
      <c r="P93" s="20" t="str"/>
    </row>
    <row r="94">
      <c r="A94" s="20" t="n">
        <v>91</v>
      </c>
      <c r="B94" s="20" t="str"/>
      <c r="C94" s="20" t="str"/>
      <c r="D94" s="20" t="str"/>
      <c r="E94" s="20" t="str"/>
      <c r="F94" s="20" t="str"/>
      <c r="G94" s="20" t="str"/>
      <c r="H94" s="20" t="str"/>
      <c r="I94" s="20" t="str"/>
      <c r="J94" s="20" t="str"/>
      <c r="K94" s="20" t="str"/>
      <c r="L94" s="20" t="inlineStr">
        <is>
          <t>待确认</t>
        </is>
      </c>
      <c r="M94" s="20" t="str"/>
      <c r="N94" s="20" t="inlineStr">
        <is>
          <t>PENDING</t>
        </is>
      </c>
      <c r="O94" s="20" t="inlineStr">
        <is>
          <t>待确认</t>
        </is>
      </c>
      <c r="P94" s="20" t="str"/>
    </row>
    <row r="95">
      <c r="A95" s="20" t="n">
        <v>92</v>
      </c>
      <c r="B95" s="20" t="str"/>
      <c r="C95" s="20" t="str"/>
      <c r="D95" s="20" t="str"/>
      <c r="E95" s="20" t="str"/>
      <c r="F95" s="20" t="str"/>
      <c r="G95" s="20" t="str"/>
      <c r="H95" s="20" t="str"/>
      <c r="I95" s="20" t="str"/>
      <c r="J95" s="20" t="str"/>
      <c r="K95" s="20" t="str"/>
      <c r="L95" s="20" t="inlineStr">
        <is>
          <t>待确认</t>
        </is>
      </c>
      <c r="M95" s="20" t="str"/>
      <c r="N95" s="20" t="inlineStr">
        <is>
          <t>PENDING</t>
        </is>
      </c>
      <c r="O95" s="20" t="inlineStr">
        <is>
          <t>待确认</t>
        </is>
      </c>
      <c r="P95" s="20" t="str"/>
    </row>
    <row r="96">
      <c r="A96" s="20" t="n">
        <v>93</v>
      </c>
      <c r="B96" s="20" t="str"/>
      <c r="C96" s="20" t="str"/>
      <c r="D96" s="20" t="str"/>
      <c r="E96" s="20" t="str"/>
      <c r="F96" s="20" t="str"/>
      <c r="G96" s="20" t="str"/>
      <c r="H96" s="20" t="str"/>
      <c r="I96" s="20" t="str"/>
      <c r="J96" s="20" t="str"/>
      <c r="K96" s="20" t="str"/>
      <c r="L96" s="20" t="inlineStr">
        <is>
          <t>待确认</t>
        </is>
      </c>
      <c r="M96" s="20" t="str"/>
      <c r="N96" s="20" t="inlineStr">
        <is>
          <t>PENDING</t>
        </is>
      </c>
      <c r="O96" s="20" t="inlineStr">
        <is>
          <t>待确认</t>
        </is>
      </c>
      <c r="P96" s="20" t="str"/>
    </row>
    <row r="97">
      <c r="A97" s="20" t="n">
        <v>94</v>
      </c>
      <c r="B97" s="20" t="str"/>
      <c r="C97" s="20" t="str"/>
      <c r="D97" s="20" t="str"/>
      <c r="E97" s="20" t="str"/>
      <c r="F97" s="20" t="str"/>
      <c r="G97" s="20" t="str"/>
      <c r="H97" s="20" t="str"/>
      <c r="I97" s="20" t="str"/>
      <c r="J97" s="20" t="str"/>
      <c r="K97" s="20" t="str"/>
      <c r="L97" s="20" t="inlineStr">
        <is>
          <t>待确认</t>
        </is>
      </c>
      <c r="M97" s="20" t="str"/>
      <c r="N97" s="20" t="inlineStr">
        <is>
          <t>PENDING</t>
        </is>
      </c>
      <c r="O97" s="20" t="inlineStr">
        <is>
          <t>待确认</t>
        </is>
      </c>
      <c r="P97" s="20" t="str"/>
    </row>
    <row r="98">
      <c r="A98" s="20" t="n">
        <v>95</v>
      </c>
      <c r="B98" s="20" t="str"/>
      <c r="C98" s="20" t="str"/>
      <c r="D98" s="20" t="str"/>
      <c r="E98" s="20" t="str"/>
      <c r="F98" s="20" t="str"/>
      <c r="G98" s="20" t="str"/>
      <c r="H98" s="20" t="str"/>
      <c r="I98" s="20" t="str"/>
      <c r="J98" s="20" t="str"/>
      <c r="K98" s="20" t="str"/>
      <c r="L98" s="20" t="inlineStr">
        <is>
          <t>待确认</t>
        </is>
      </c>
      <c r="M98" s="20" t="str"/>
      <c r="N98" s="20" t="inlineStr">
        <is>
          <t>PENDING</t>
        </is>
      </c>
      <c r="O98" s="20" t="inlineStr">
        <is>
          <t>待确认</t>
        </is>
      </c>
      <c r="P98" s="20" t="str"/>
    </row>
    <row r="99">
      <c r="A99" s="20" t="n">
        <v>96</v>
      </c>
      <c r="B99" s="20" t="str"/>
      <c r="C99" s="20" t="str"/>
      <c r="D99" s="20" t="str"/>
      <c r="E99" s="20" t="str"/>
      <c r="F99" s="20" t="str"/>
      <c r="G99" s="20" t="str"/>
      <c r="H99" s="20" t="str"/>
      <c r="I99" s="20" t="str"/>
      <c r="J99" s="20" t="str"/>
      <c r="K99" s="20" t="str"/>
      <c r="L99" s="20" t="inlineStr">
        <is>
          <t>待确认</t>
        </is>
      </c>
      <c r="M99" s="20" t="str"/>
      <c r="N99" s="20" t="inlineStr">
        <is>
          <t>PENDING</t>
        </is>
      </c>
      <c r="O99" s="20" t="inlineStr">
        <is>
          <t>待确认</t>
        </is>
      </c>
      <c r="P99" s="20" t="str"/>
    </row>
    <row r="100">
      <c r="A100" s="20" t="n">
        <v>97</v>
      </c>
      <c r="B100" s="20" t="str"/>
      <c r="C100" s="20" t="str"/>
      <c r="D100" s="20" t="str"/>
      <c r="E100" s="20" t="str"/>
      <c r="F100" s="20" t="str"/>
      <c r="G100" s="20" t="str"/>
      <c r="H100" s="20" t="str"/>
      <c r="I100" s="20" t="str"/>
      <c r="J100" s="20" t="str"/>
      <c r="K100" s="20" t="str"/>
      <c r="L100" s="20" t="inlineStr">
        <is>
          <t>待确认</t>
        </is>
      </c>
      <c r="M100" s="20" t="str"/>
      <c r="N100" s="20" t="inlineStr">
        <is>
          <t>PENDING</t>
        </is>
      </c>
      <c r="O100" s="20" t="inlineStr">
        <is>
          <t>待确认</t>
        </is>
      </c>
      <c r="P100" s="20" t="str"/>
    </row>
    <row r="101">
      <c r="A101" s="20" t="n">
        <v>98</v>
      </c>
      <c r="B101" s="20" t="str"/>
      <c r="C101" s="20" t="str"/>
      <c r="D101" s="20" t="str"/>
      <c r="E101" s="20" t="str"/>
      <c r="F101" s="20" t="str"/>
      <c r="G101" s="20" t="str"/>
      <c r="H101" s="20" t="str"/>
      <c r="I101" s="20" t="str"/>
      <c r="J101" s="20" t="str"/>
      <c r="K101" s="20" t="str"/>
      <c r="L101" s="20" t="inlineStr">
        <is>
          <t>待确认</t>
        </is>
      </c>
      <c r="M101" s="20" t="str"/>
      <c r="N101" s="20" t="inlineStr">
        <is>
          <t>PENDING</t>
        </is>
      </c>
      <c r="O101" s="20" t="inlineStr">
        <is>
          <t>待确认</t>
        </is>
      </c>
      <c r="P101" s="20" t="str"/>
    </row>
    <row r="102">
      <c r="A102" s="20" t="n">
        <v>99</v>
      </c>
      <c r="B102" s="20" t="str"/>
      <c r="C102" s="20" t="str"/>
      <c r="D102" s="20" t="str"/>
      <c r="E102" s="20" t="str"/>
      <c r="F102" s="20" t="str"/>
      <c r="G102" s="20" t="str"/>
      <c r="H102" s="20" t="str"/>
      <c r="I102" s="20" t="str"/>
      <c r="J102" s="20" t="str"/>
      <c r="K102" s="20" t="str"/>
      <c r="L102" s="20" t="inlineStr">
        <is>
          <t>待确认</t>
        </is>
      </c>
      <c r="M102" s="20" t="str"/>
      <c r="N102" s="20" t="inlineStr">
        <is>
          <t>PENDING</t>
        </is>
      </c>
      <c r="O102" s="20" t="inlineStr">
        <is>
          <t>待确认</t>
        </is>
      </c>
      <c r="P102" s="20" t="str"/>
    </row>
    <row r="103">
      <c r="A103" s="20" t="n">
        <v>100</v>
      </c>
      <c r="B103" s="20" t="str"/>
      <c r="C103" s="20" t="str"/>
      <c r="D103" s="20" t="str"/>
      <c r="E103" s="20" t="str"/>
      <c r="F103" s="20" t="str"/>
      <c r="G103" s="20" t="str"/>
      <c r="H103" s="20" t="str"/>
      <c r="I103" s="20" t="str"/>
      <c r="J103" s="20" t="str"/>
      <c r="K103" s="20" t="str"/>
      <c r="L103" s="20" t="inlineStr">
        <is>
          <t>待确认</t>
        </is>
      </c>
      <c r="M103" s="20" t="str"/>
      <c r="N103" s="20" t="inlineStr">
        <is>
          <t>PENDING</t>
        </is>
      </c>
      <c r="O103" s="20" t="inlineStr">
        <is>
          <t>待确认</t>
        </is>
      </c>
      <c r="P103" s="20" t="str"/>
    </row>
    <row r="104">
      <c r="A104" s="20" t="n">
        <v>101</v>
      </c>
      <c r="B104" s="20" t="str"/>
      <c r="C104" s="20" t="str"/>
      <c r="D104" s="20" t="str"/>
      <c r="E104" s="20" t="str"/>
      <c r="F104" s="20" t="str"/>
      <c r="G104" s="20" t="str"/>
      <c r="H104" s="20" t="str"/>
      <c r="I104" s="20" t="str"/>
      <c r="J104" s="20" t="str"/>
      <c r="K104" s="20" t="str"/>
      <c r="L104" s="20" t="inlineStr">
        <is>
          <t>待确认</t>
        </is>
      </c>
      <c r="M104" s="20" t="str"/>
      <c r="N104" s="20" t="inlineStr">
        <is>
          <t>PENDING</t>
        </is>
      </c>
      <c r="O104" s="20" t="inlineStr">
        <is>
          <t>待确认</t>
        </is>
      </c>
      <c r="P104" s="20" t="str"/>
    </row>
    <row r="105">
      <c r="A105" s="20" t="n">
        <v>102</v>
      </c>
      <c r="B105" s="20" t="str"/>
      <c r="C105" s="20" t="str"/>
      <c r="D105" s="20" t="str"/>
      <c r="E105" s="20" t="str"/>
      <c r="F105" s="20" t="str"/>
      <c r="G105" s="20" t="str"/>
      <c r="H105" s="20" t="str"/>
      <c r="I105" s="20" t="str"/>
      <c r="J105" s="20" t="str"/>
      <c r="K105" s="20" t="str"/>
      <c r="L105" s="20" t="inlineStr">
        <is>
          <t>待确认</t>
        </is>
      </c>
      <c r="M105" s="20" t="str"/>
      <c r="N105" s="20" t="inlineStr">
        <is>
          <t>PENDING</t>
        </is>
      </c>
      <c r="O105" s="20" t="inlineStr">
        <is>
          <t>待确认</t>
        </is>
      </c>
      <c r="P105" s="20" t="str"/>
    </row>
    <row r="106">
      <c r="A106" s="20" t="n">
        <v>103</v>
      </c>
      <c r="B106" s="20" t="str"/>
      <c r="C106" s="20" t="str"/>
      <c r="D106" s="20" t="str"/>
      <c r="E106" s="20" t="str"/>
      <c r="F106" s="20" t="str"/>
      <c r="G106" s="20" t="str"/>
      <c r="H106" s="20" t="str"/>
      <c r="I106" s="20" t="str"/>
      <c r="J106" s="20" t="str"/>
      <c r="K106" s="20" t="str"/>
      <c r="L106" s="20" t="inlineStr">
        <is>
          <t>待确认</t>
        </is>
      </c>
      <c r="M106" s="20" t="str"/>
      <c r="N106" s="20" t="inlineStr">
        <is>
          <t>PENDING</t>
        </is>
      </c>
      <c r="O106" s="20" t="inlineStr">
        <is>
          <t>待确认</t>
        </is>
      </c>
      <c r="P106" s="20" t="str"/>
    </row>
    <row r="107">
      <c r="A107" s="20" t="n">
        <v>104</v>
      </c>
      <c r="B107" s="20" t="str"/>
      <c r="C107" s="20" t="str"/>
      <c r="D107" s="20" t="str"/>
      <c r="E107" s="20" t="str"/>
      <c r="F107" s="20" t="str"/>
      <c r="G107" s="20" t="str"/>
      <c r="H107" s="20" t="str"/>
      <c r="I107" s="20" t="str"/>
      <c r="J107" s="20" t="str"/>
      <c r="K107" s="20" t="str"/>
      <c r="L107" s="20" t="inlineStr">
        <is>
          <t>待确认</t>
        </is>
      </c>
      <c r="M107" s="20" t="str"/>
      <c r="N107" s="20" t="inlineStr">
        <is>
          <t>PENDING</t>
        </is>
      </c>
      <c r="O107" s="20" t="inlineStr">
        <is>
          <t>待确认</t>
        </is>
      </c>
      <c r="P107" s="20" t="str"/>
    </row>
    <row r="108">
      <c r="A108" s="20" t="n">
        <v>105</v>
      </c>
      <c r="B108" s="20" t="str"/>
      <c r="C108" s="20" t="str"/>
      <c r="D108" s="20" t="str"/>
      <c r="E108" s="20" t="str"/>
      <c r="F108" s="20" t="str"/>
      <c r="G108" s="20" t="str"/>
      <c r="H108" s="20" t="str"/>
      <c r="I108" s="20" t="str"/>
      <c r="J108" s="20" t="str"/>
      <c r="K108" s="20" t="str"/>
      <c r="L108" s="20" t="inlineStr">
        <is>
          <t>待确认</t>
        </is>
      </c>
      <c r="M108" s="20" t="str"/>
      <c r="N108" s="20" t="inlineStr">
        <is>
          <t>PENDING</t>
        </is>
      </c>
      <c r="O108" s="20" t="inlineStr">
        <is>
          <t>待确认</t>
        </is>
      </c>
      <c r="P108" s="20" t="str"/>
    </row>
    <row r="109">
      <c r="A109" s="20" t="n">
        <v>106</v>
      </c>
      <c r="B109" s="20" t="str"/>
      <c r="C109" s="20" t="str"/>
      <c r="D109" s="20" t="str"/>
      <c r="E109" s="20" t="str"/>
      <c r="F109" s="20" t="str"/>
      <c r="G109" s="20" t="str"/>
      <c r="H109" s="20" t="str"/>
      <c r="I109" s="20" t="str"/>
      <c r="J109" s="20" t="str"/>
      <c r="K109" s="20" t="str"/>
      <c r="L109" s="20" t="inlineStr">
        <is>
          <t>待确认</t>
        </is>
      </c>
      <c r="M109" s="20" t="str"/>
      <c r="N109" s="20" t="inlineStr">
        <is>
          <t>PENDING</t>
        </is>
      </c>
      <c r="O109" s="20" t="inlineStr">
        <is>
          <t>待确认</t>
        </is>
      </c>
      <c r="P109" s="20" t="str"/>
    </row>
    <row r="110">
      <c r="A110" s="20" t="n">
        <v>107</v>
      </c>
      <c r="B110" s="20" t="str"/>
      <c r="C110" s="20" t="str"/>
      <c r="D110" s="20" t="str"/>
      <c r="E110" s="20" t="str"/>
      <c r="F110" s="20" t="str"/>
      <c r="G110" s="20" t="str"/>
      <c r="H110" s="20" t="str"/>
      <c r="I110" s="20" t="str"/>
      <c r="J110" s="20" t="str"/>
      <c r="K110" s="20" t="str"/>
      <c r="L110" s="20" t="inlineStr">
        <is>
          <t>待确认</t>
        </is>
      </c>
      <c r="M110" s="20" t="str"/>
      <c r="N110" s="20" t="inlineStr">
        <is>
          <t>PENDING</t>
        </is>
      </c>
      <c r="O110" s="20" t="inlineStr">
        <is>
          <t>待确认</t>
        </is>
      </c>
      <c r="P110" s="20" t="str"/>
    </row>
    <row r="111">
      <c r="A111" s="20" t="n">
        <v>108</v>
      </c>
      <c r="B111" s="20" t="str"/>
      <c r="C111" s="20" t="str"/>
      <c r="D111" s="20" t="str"/>
      <c r="E111" s="20" t="str"/>
      <c r="F111" s="20" t="str"/>
      <c r="G111" s="20" t="str"/>
      <c r="H111" s="20" t="str"/>
      <c r="I111" s="20" t="str"/>
      <c r="J111" s="20" t="str"/>
      <c r="K111" s="20" t="str"/>
      <c r="L111" s="20" t="inlineStr">
        <is>
          <t>待确认</t>
        </is>
      </c>
      <c r="M111" s="20" t="str"/>
      <c r="N111" s="20" t="inlineStr">
        <is>
          <t>PENDING</t>
        </is>
      </c>
      <c r="O111" s="20" t="inlineStr">
        <is>
          <t>待确认</t>
        </is>
      </c>
      <c r="P111" s="20" t="str"/>
    </row>
    <row r="112">
      <c r="A112" s="20" t="n">
        <v>109</v>
      </c>
      <c r="B112" s="20" t="str"/>
      <c r="C112" s="20" t="str"/>
      <c r="D112" s="20" t="str"/>
      <c r="E112" s="20" t="str"/>
      <c r="F112" s="20" t="str"/>
      <c r="G112" s="20" t="str"/>
      <c r="H112" s="20" t="str"/>
      <c r="I112" s="20" t="str"/>
      <c r="J112" s="20" t="str"/>
      <c r="K112" s="20" t="str"/>
      <c r="L112" s="20" t="inlineStr">
        <is>
          <t>待确认</t>
        </is>
      </c>
      <c r="M112" s="20" t="str"/>
      <c r="N112" s="20" t="inlineStr">
        <is>
          <t>PENDING</t>
        </is>
      </c>
      <c r="O112" s="20" t="inlineStr">
        <is>
          <t>待确认</t>
        </is>
      </c>
      <c r="P112" s="20" t="str"/>
    </row>
    <row r="113">
      <c r="A113" s="20" t="n">
        <v>110</v>
      </c>
      <c r="B113" s="20" t="str"/>
      <c r="C113" s="20" t="str"/>
      <c r="D113" s="20" t="str"/>
      <c r="E113" s="20" t="str"/>
      <c r="F113" s="20" t="str"/>
      <c r="G113" s="20" t="str"/>
      <c r="H113" s="20" t="str"/>
      <c r="I113" s="20" t="str"/>
      <c r="J113" s="20" t="str"/>
      <c r="K113" s="20" t="str"/>
      <c r="L113" s="20" t="inlineStr">
        <is>
          <t>待确认</t>
        </is>
      </c>
      <c r="M113" s="20" t="str"/>
      <c r="N113" s="20" t="inlineStr">
        <is>
          <t>PENDING</t>
        </is>
      </c>
      <c r="O113" s="20" t="inlineStr">
        <is>
          <t>待确认</t>
        </is>
      </c>
      <c r="P113" s="20" t="str"/>
    </row>
    <row r="114">
      <c r="A114" s="20" t="n">
        <v>111</v>
      </c>
      <c r="B114" s="20" t="str"/>
      <c r="C114" s="20" t="str"/>
      <c r="D114" s="20" t="str"/>
      <c r="E114" s="20" t="str"/>
      <c r="F114" s="20" t="str"/>
      <c r="G114" s="20" t="str"/>
      <c r="H114" s="20" t="str"/>
      <c r="I114" s="20" t="str"/>
      <c r="J114" s="20" t="str"/>
      <c r="K114" s="20" t="str"/>
      <c r="L114" s="20" t="inlineStr">
        <is>
          <t>待确认</t>
        </is>
      </c>
      <c r="M114" s="20" t="str"/>
      <c r="N114" s="20" t="inlineStr">
        <is>
          <t>PENDING</t>
        </is>
      </c>
      <c r="O114" s="20" t="inlineStr">
        <is>
          <t>待确认</t>
        </is>
      </c>
      <c r="P114" s="20" t="str"/>
    </row>
    <row r="115">
      <c r="A115" s="20" t="n">
        <v>112</v>
      </c>
      <c r="B115" s="20" t="str"/>
      <c r="C115" s="20" t="str"/>
      <c r="D115" s="20" t="str"/>
      <c r="E115" s="20" t="str"/>
      <c r="F115" s="20" t="str"/>
      <c r="G115" s="20" t="str"/>
      <c r="H115" s="20" t="str"/>
      <c r="I115" s="20" t="str"/>
      <c r="J115" s="20" t="str"/>
      <c r="K115" s="20" t="str"/>
      <c r="L115" s="20" t="inlineStr">
        <is>
          <t>待确认</t>
        </is>
      </c>
      <c r="M115" s="20" t="str"/>
      <c r="N115" s="20" t="inlineStr">
        <is>
          <t>PENDING</t>
        </is>
      </c>
      <c r="O115" s="20" t="inlineStr">
        <is>
          <t>待确认</t>
        </is>
      </c>
      <c r="P115" s="20" t="str"/>
    </row>
    <row r="116">
      <c r="A116" s="20" t="n">
        <v>113</v>
      </c>
      <c r="B116" s="20" t="str"/>
      <c r="C116" s="20" t="str"/>
      <c r="D116" s="20" t="str"/>
      <c r="E116" s="20" t="str"/>
      <c r="F116" s="20" t="str"/>
      <c r="G116" s="20" t="str"/>
      <c r="H116" s="20" t="str"/>
      <c r="I116" s="20" t="str"/>
      <c r="J116" s="20" t="str"/>
      <c r="K116" s="20" t="str"/>
      <c r="L116" s="20" t="inlineStr">
        <is>
          <t>待确认</t>
        </is>
      </c>
      <c r="M116" s="20" t="str"/>
      <c r="N116" s="20" t="inlineStr">
        <is>
          <t>PENDING</t>
        </is>
      </c>
      <c r="O116" s="20" t="inlineStr">
        <is>
          <t>待确认</t>
        </is>
      </c>
      <c r="P116" s="20" t="str"/>
    </row>
    <row r="117">
      <c r="A117" s="20" t="n">
        <v>114</v>
      </c>
      <c r="B117" s="20" t="str"/>
      <c r="C117" s="20" t="str"/>
      <c r="D117" s="20" t="str"/>
      <c r="E117" s="20" t="str"/>
      <c r="F117" s="20" t="str"/>
      <c r="G117" s="20" t="str"/>
      <c r="H117" s="20" t="str"/>
      <c r="I117" s="20" t="str"/>
      <c r="J117" s="20" t="str"/>
      <c r="K117" s="20" t="str"/>
      <c r="L117" s="20" t="inlineStr">
        <is>
          <t>待确认</t>
        </is>
      </c>
      <c r="M117" s="20" t="str"/>
      <c r="N117" s="20" t="inlineStr">
        <is>
          <t>PENDING</t>
        </is>
      </c>
      <c r="O117" s="20" t="inlineStr">
        <is>
          <t>待确认</t>
        </is>
      </c>
      <c r="P117" s="20" t="str"/>
    </row>
    <row r="118">
      <c r="A118" s="20" t="n">
        <v>115</v>
      </c>
      <c r="B118" s="20" t="str"/>
      <c r="C118" s="20" t="str"/>
      <c r="D118" s="20" t="str"/>
      <c r="E118" s="20" t="str"/>
      <c r="F118" s="20" t="str"/>
      <c r="G118" s="20" t="str"/>
      <c r="H118" s="20" t="str"/>
      <c r="I118" s="20" t="str"/>
      <c r="J118" s="20" t="str"/>
      <c r="K118" s="20" t="str"/>
      <c r="L118" s="20" t="inlineStr">
        <is>
          <t>待确认</t>
        </is>
      </c>
      <c r="M118" s="20" t="str"/>
      <c r="N118" s="20" t="inlineStr">
        <is>
          <t>PENDING</t>
        </is>
      </c>
      <c r="O118" s="20" t="inlineStr">
        <is>
          <t>待确认</t>
        </is>
      </c>
      <c r="P118" s="20" t="str"/>
    </row>
    <row r="119">
      <c r="A119" s="20" t="n">
        <v>116</v>
      </c>
      <c r="B119" s="20" t="str"/>
      <c r="C119" s="20" t="str"/>
      <c r="D119" s="20" t="str"/>
      <c r="E119" s="20" t="str"/>
      <c r="F119" s="20" t="str"/>
      <c r="G119" s="20" t="str"/>
      <c r="H119" s="20" t="str"/>
      <c r="I119" s="20" t="str"/>
      <c r="J119" s="20" t="str"/>
      <c r="K119" s="20" t="str"/>
      <c r="L119" s="20" t="inlineStr">
        <is>
          <t>待确认</t>
        </is>
      </c>
      <c r="M119" s="20" t="str"/>
      <c r="N119" s="20" t="inlineStr">
        <is>
          <t>PENDING</t>
        </is>
      </c>
      <c r="O119" s="20" t="inlineStr">
        <is>
          <t>待确认</t>
        </is>
      </c>
      <c r="P119" s="20" t="str"/>
    </row>
    <row r="120">
      <c r="A120" s="20" t="n">
        <v>117</v>
      </c>
      <c r="B120" s="20" t="str"/>
      <c r="C120" s="20" t="str"/>
      <c r="D120" s="20" t="str"/>
      <c r="E120" s="20" t="str"/>
      <c r="F120" s="20" t="str"/>
      <c r="G120" s="20" t="str"/>
      <c r="H120" s="20" t="str"/>
      <c r="I120" s="20" t="str"/>
      <c r="J120" s="20" t="str"/>
      <c r="K120" s="20" t="str"/>
      <c r="L120" s="20" t="inlineStr">
        <is>
          <t>待确认</t>
        </is>
      </c>
      <c r="M120" s="20" t="str"/>
      <c r="N120" s="20" t="inlineStr">
        <is>
          <t>PENDING</t>
        </is>
      </c>
      <c r="O120" s="20" t="inlineStr">
        <is>
          <t>待确认</t>
        </is>
      </c>
      <c r="P120" s="20" t="str"/>
    </row>
    <row r="121">
      <c r="A121" s="20" t="n">
        <v>118</v>
      </c>
      <c r="B121" s="20" t="str"/>
      <c r="C121" s="20" t="str"/>
      <c r="D121" s="20" t="str"/>
      <c r="E121" s="20" t="str"/>
      <c r="F121" s="20" t="str"/>
      <c r="G121" s="20" t="str"/>
      <c r="H121" s="20" t="str"/>
      <c r="I121" s="20" t="str"/>
      <c r="J121" s="20" t="str"/>
      <c r="K121" s="20" t="str"/>
      <c r="L121" s="20" t="inlineStr">
        <is>
          <t>待确认</t>
        </is>
      </c>
      <c r="M121" s="20" t="str"/>
      <c r="N121" s="20" t="inlineStr">
        <is>
          <t>PENDING</t>
        </is>
      </c>
      <c r="O121" s="20" t="inlineStr">
        <is>
          <t>待确认</t>
        </is>
      </c>
      <c r="P121" s="20" t="str"/>
    </row>
    <row r="122">
      <c r="A122" s="20" t="n">
        <v>119</v>
      </c>
      <c r="B122" s="20" t="str"/>
      <c r="C122" s="20" t="str"/>
      <c r="D122" s="20" t="str"/>
      <c r="E122" s="20" t="str"/>
      <c r="F122" s="20" t="str"/>
      <c r="G122" s="20" t="str"/>
      <c r="H122" s="20" t="str"/>
      <c r="I122" s="20" t="str"/>
      <c r="J122" s="20" t="str"/>
      <c r="K122" s="20" t="str"/>
      <c r="L122" s="20" t="inlineStr">
        <is>
          <t>待确认</t>
        </is>
      </c>
      <c r="M122" s="20" t="str"/>
      <c r="N122" s="20" t="inlineStr">
        <is>
          <t>PENDING</t>
        </is>
      </c>
      <c r="O122" s="20" t="inlineStr">
        <is>
          <t>待确认</t>
        </is>
      </c>
      <c r="P122" s="20" t="str"/>
    </row>
    <row r="123">
      <c r="A123" s="20" t="n">
        <v>120</v>
      </c>
      <c r="B123" s="20" t="str"/>
      <c r="C123" s="20" t="str"/>
      <c r="D123" s="20" t="str"/>
      <c r="E123" s="20" t="str"/>
      <c r="F123" s="20" t="str"/>
      <c r="G123" s="20" t="str"/>
      <c r="H123" s="20" t="str"/>
      <c r="I123" s="20" t="str"/>
      <c r="J123" s="20" t="str"/>
      <c r="K123" s="20" t="str"/>
      <c r="L123" s="20" t="inlineStr">
        <is>
          <t>待确认</t>
        </is>
      </c>
      <c r="M123" s="20" t="str"/>
      <c r="N123" s="20" t="inlineStr">
        <is>
          <t>PENDING</t>
        </is>
      </c>
      <c r="O123" s="20" t="inlineStr">
        <is>
          <t>待确认</t>
        </is>
      </c>
      <c r="P123" s="20" t="str"/>
    </row>
    <row r="124">
      <c r="A124" s="20" t="n">
        <v>121</v>
      </c>
      <c r="B124" s="20" t="str"/>
      <c r="C124" s="20" t="str"/>
      <c r="D124" s="20" t="str"/>
      <c r="E124" s="20" t="str"/>
      <c r="F124" s="20" t="str"/>
      <c r="G124" s="20" t="str"/>
      <c r="H124" s="20" t="str"/>
      <c r="I124" s="20" t="str"/>
      <c r="J124" s="20" t="str"/>
      <c r="K124" s="20" t="str"/>
      <c r="L124" s="20" t="inlineStr">
        <is>
          <t>待确认</t>
        </is>
      </c>
      <c r="M124" s="20" t="str"/>
      <c r="N124" s="20" t="inlineStr">
        <is>
          <t>PENDING</t>
        </is>
      </c>
      <c r="O124" s="20" t="inlineStr">
        <is>
          <t>待确认</t>
        </is>
      </c>
      <c r="P124" s="20" t="str"/>
    </row>
    <row r="125">
      <c r="A125" s="20" t="n">
        <v>122</v>
      </c>
      <c r="B125" s="20" t="str"/>
      <c r="C125" s="20" t="str"/>
      <c r="D125" s="20" t="str"/>
      <c r="E125" s="20" t="str"/>
      <c r="F125" s="20" t="str"/>
      <c r="G125" s="20" t="str"/>
      <c r="H125" s="20" t="str"/>
      <c r="I125" s="20" t="str"/>
      <c r="J125" s="20" t="str"/>
      <c r="K125" s="20" t="str"/>
      <c r="L125" s="20" t="inlineStr">
        <is>
          <t>待确认</t>
        </is>
      </c>
      <c r="M125" s="20" t="str"/>
      <c r="N125" s="20" t="inlineStr">
        <is>
          <t>PENDING</t>
        </is>
      </c>
      <c r="O125" s="20" t="inlineStr">
        <is>
          <t>待确认</t>
        </is>
      </c>
      <c r="P125" s="20" t="str"/>
    </row>
    <row r="126">
      <c r="A126" s="20" t="n">
        <v>123</v>
      </c>
      <c r="B126" s="20" t="str"/>
      <c r="C126" s="20" t="str"/>
      <c r="D126" s="20" t="str"/>
      <c r="E126" s="20" t="str"/>
      <c r="F126" s="20" t="str"/>
      <c r="G126" s="20" t="str"/>
      <c r="H126" s="20" t="str"/>
      <c r="I126" s="20" t="str"/>
      <c r="J126" s="20" t="str"/>
      <c r="K126" s="20" t="str"/>
      <c r="L126" s="20" t="inlineStr">
        <is>
          <t>待确认</t>
        </is>
      </c>
      <c r="M126" s="20" t="str"/>
      <c r="N126" s="20" t="inlineStr">
        <is>
          <t>PENDING</t>
        </is>
      </c>
      <c r="O126" s="20" t="inlineStr">
        <is>
          <t>待确认</t>
        </is>
      </c>
      <c r="P126" s="20" t="str"/>
    </row>
    <row r="127">
      <c r="A127" s="20" t="n">
        <v>124</v>
      </c>
      <c r="B127" s="20" t="str"/>
      <c r="C127" s="20" t="str"/>
      <c r="D127" s="20" t="str"/>
      <c r="E127" s="20" t="str"/>
      <c r="F127" s="20" t="str"/>
      <c r="G127" s="20" t="str"/>
      <c r="H127" s="20" t="str"/>
      <c r="I127" s="20" t="str"/>
      <c r="J127" s="20" t="str"/>
      <c r="K127" s="20" t="str"/>
      <c r="L127" s="20" t="inlineStr">
        <is>
          <t>待确认</t>
        </is>
      </c>
      <c r="M127" s="20" t="str"/>
      <c r="N127" s="20" t="inlineStr">
        <is>
          <t>PENDING</t>
        </is>
      </c>
      <c r="O127" s="20" t="inlineStr">
        <is>
          <t>待确认</t>
        </is>
      </c>
      <c r="P127" s="20" t="str"/>
    </row>
    <row r="128">
      <c r="A128" s="20" t="n">
        <v>125</v>
      </c>
      <c r="B128" s="20" t="str"/>
      <c r="C128" s="20" t="str"/>
      <c r="D128" s="20" t="str"/>
      <c r="E128" s="20" t="str"/>
      <c r="F128" s="20" t="str"/>
      <c r="G128" s="20" t="str"/>
      <c r="H128" s="20" t="str"/>
      <c r="I128" s="20" t="str"/>
      <c r="J128" s="20" t="str"/>
      <c r="K128" s="20" t="str"/>
      <c r="L128" s="20" t="inlineStr">
        <is>
          <t>待确认</t>
        </is>
      </c>
      <c r="M128" s="20" t="str"/>
      <c r="N128" s="20" t="inlineStr">
        <is>
          <t>PENDING</t>
        </is>
      </c>
      <c r="O128" s="20" t="inlineStr">
        <is>
          <t>待确认</t>
        </is>
      </c>
      <c r="P128" s="20" t="str"/>
    </row>
    <row r="129">
      <c r="A129" s="20" t="n">
        <v>126</v>
      </c>
      <c r="B129" s="20" t="str"/>
      <c r="C129" s="20" t="str"/>
      <c r="D129" s="20" t="str"/>
      <c r="E129" s="20" t="str"/>
      <c r="F129" s="20" t="str"/>
      <c r="G129" s="20" t="str"/>
      <c r="H129" s="20" t="str"/>
      <c r="I129" s="20" t="str"/>
      <c r="J129" s="20" t="str"/>
      <c r="K129" s="20" t="str"/>
      <c r="L129" s="20" t="inlineStr">
        <is>
          <t>待确认</t>
        </is>
      </c>
      <c r="M129" s="20" t="str"/>
      <c r="N129" s="20" t="inlineStr">
        <is>
          <t>PENDING</t>
        </is>
      </c>
      <c r="O129" s="20" t="inlineStr">
        <is>
          <t>待确认</t>
        </is>
      </c>
      <c r="P129" s="20" t="str"/>
    </row>
    <row r="130">
      <c r="A130" s="20" t="n">
        <v>127</v>
      </c>
      <c r="B130" s="20" t="str"/>
      <c r="C130" s="20" t="str"/>
      <c r="D130" s="20" t="str"/>
      <c r="E130" s="20" t="str"/>
      <c r="F130" s="20" t="str"/>
      <c r="G130" s="20" t="str"/>
      <c r="H130" s="20" t="str"/>
      <c r="I130" s="20" t="str"/>
      <c r="J130" s="20" t="str"/>
      <c r="K130" s="20" t="str"/>
      <c r="L130" s="20" t="inlineStr">
        <is>
          <t>待确认</t>
        </is>
      </c>
      <c r="M130" s="20" t="str"/>
      <c r="N130" s="20" t="inlineStr">
        <is>
          <t>PENDING</t>
        </is>
      </c>
      <c r="O130" s="20" t="inlineStr">
        <is>
          <t>待确认</t>
        </is>
      </c>
      <c r="P130" s="20" t="str"/>
    </row>
    <row r="131">
      <c r="A131" s="20" t="n">
        <v>128</v>
      </c>
      <c r="B131" s="20" t="str"/>
      <c r="C131" s="20" t="str"/>
      <c r="D131" s="20" t="str"/>
      <c r="E131" s="20" t="str"/>
      <c r="F131" s="20" t="str"/>
      <c r="G131" s="20" t="str"/>
      <c r="H131" s="20" t="str"/>
      <c r="I131" s="20" t="str"/>
      <c r="J131" s="20" t="str"/>
      <c r="K131" s="20" t="str"/>
      <c r="L131" s="20" t="inlineStr">
        <is>
          <t>待确认</t>
        </is>
      </c>
      <c r="M131" s="20" t="str"/>
      <c r="N131" s="20" t="inlineStr">
        <is>
          <t>PENDING</t>
        </is>
      </c>
      <c r="O131" s="20" t="inlineStr">
        <is>
          <t>待确认</t>
        </is>
      </c>
      <c r="P131" s="20" t="str"/>
    </row>
    <row r="132">
      <c r="A132" s="20" t="n">
        <v>129</v>
      </c>
      <c r="B132" s="20" t="str"/>
      <c r="C132" s="20" t="str"/>
      <c r="D132" s="20" t="str"/>
      <c r="E132" s="20" t="str"/>
      <c r="F132" s="20" t="str"/>
      <c r="G132" s="20" t="str"/>
      <c r="H132" s="20" t="str"/>
      <c r="I132" s="20" t="str"/>
      <c r="J132" s="20" t="str"/>
      <c r="K132" s="20" t="str"/>
      <c r="L132" s="20" t="inlineStr">
        <is>
          <t>待确认</t>
        </is>
      </c>
      <c r="M132" s="20" t="str"/>
      <c r="N132" s="20" t="inlineStr">
        <is>
          <t>PENDING</t>
        </is>
      </c>
      <c r="O132" s="20" t="inlineStr">
        <is>
          <t>待确认</t>
        </is>
      </c>
      <c r="P132" s="20" t="str"/>
    </row>
    <row r="133">
      <c r="A133" s="20" t="n">
        <v>130</v>
      </c>
      <c r="B133" s="20" t="str"/>
      <c r="C133" s="20" t="str"/>
      <c r="D133" s="20" t="str"/>
      <c r="E133" s="20" t="str"/>
      <c r="F133" s="20" t="str"/>
      <c r="G133" s="20" t="str"/>
      <c r="H133" s="20" t="str"/>
      <c r="I133" s="20" t="str"/>
      <c r="J133" s="20" t="str"/>
      <c r="K133" s="20" t="str"/>
      <c r="L133" s="20" t="inlineStr">
        <is>
          <t>待确认</t>
        </is>
      </c>
      <c r="M133" s="20" t="str"/>
      <c r="N133" s="20" t="inlineStr">
        <is>
          <t>PENDING</t>
        </is>
      </c>
      <c r="O133" s="20" t="inlineStr">
        <is>
          <t>待确认</t>
        </is>
      </c>
      <c r="P133" s="20" t="str"/>
    </row>
    <row r="134">
      <c r="A134" s="20" t="n">
        <v>131</v>
      </c>
      <c r="B134" s="20" t="str"/>
      <c r="C134" s="20" t="str"/>
      <c r="D134" s="20" t="str"/>
      <c r="E134" s="20" t="str"/>
      <c r="F134" s="20" t="str"/>
      <c r="G134" s="20" t="str"/>
      <c r="H134" s="20" t="str"/>
      <c r="I134" s="20" t="str"/>
      <c r="J134" s="20" t="str"/>
      <c r="K134" s="20" t="str"/>
      <c r="L134" s="20" t="inlineStr">
        <is>
          <t>待确认</t>
        </is>
      </c>
      <c r="M134" s="20" t="str"/>
      <c r="N134" s="20" t="inlineStr">
        <is>
          <t>PENDING</t>
        </is>
      </c>
      <c r="O134" s="20" t="inlineStr">
        <is>
          <t>待确认</t>
        </is>
      </c>
      <c r="P134" s="20" t="str"/>
    </row>
    <row r="135">
      <c r="A135" s="20" t="n">
        <v>132</v>
      </c>
      <c r="B135" s="20" t="str"/>
      <c r="C135" s="20" t="str"/>
      <c r="D135" s="20" t="str"/>
      <c r="E135" s="20" t="str"/>
      <c r="F135" s="20" t="str"/>
      <c r="G135" s="20" t="str"/>
      <c r="H135" s="20" t="str"/>
      <c r="I135" s="20" t="str"/>
      <c r="J135" s="20" t="str"/>
      <c r="K135" s="20" t="str"/>
      <c r="L135" s="20" t="inlineStr">
        <is>
          <t>待确认</t>
        </is>
      </c>
      <c r="M135" s="20" t="str"/>
      <c r="N135" s="20" t="inlineStr">
        <is>
          <t>PENDING</t>
        </is>
      </c>
      <c r="O135" s="20" t="inlineStr">
        <is>
          <t>待确认</t>
        </is>
      </c>
      <c r="P135" s="20" t="str"/>
    </row>
    <row r="136">
      <c r="A136" s="20" t="n">
        <v>133</v>
      </c>
      <c r="B136" s="20" t="str"/>
      <c r="C136" s="20" t="str"/>
      <c r="D136" s="20" t="str"/>
      <c r="E136" s="20" t="str"/>
      <c r="F136" s="20" t="str"/>
      <c r="G136" s="20" t="str"/>
      <c r="H136" s="20" t="str"/>
      <c r="I136" s="20" t="str"/>
      <c r="J136" s="20" t="str"/>
      <c r="K136" s="20" t="str"/>
      <c r="L136" s="20" t="inlineStr">
        <is>
          <t>待确认</t>
        </is>
      </c>
      <c r="M136" s="20" t="str"/>
      <c r="N136" s="20" t="inlineStr">
        <is>
          <t>PENDING</t>
        </is>
      </c>
      <c r="O136" s="20" t="inlineStr">
        <is>
          <t>待确认</t>
        </is>
      </c>
      <c r="P136" s="20" t="str"/>
    </row>
    <row r="137">
      <c r="A137" s="20" t="n">
        <v>134</v>
      </c>
      <c r="B137" s="20" t="str"/>
      <c r="C137" s="20" t="str"/>
      <c r="D137" s="20" t="str"/>
      <c r="E137" s="20" t="str"/>
      <c r="F137" s="20" t="str"/>
      <c r="G137" s="20" t="str"/>
      <c r="H137" s="20" t="str"/>
      <c r="I137" s="20" t="str"/>
      <c r="J137" s="20" t="str"/>
      <c r="K137" s="20" t="str"/>
      <c r="L137" s="20" t="inlineStr">
        <is>
          <t>待确认</t>
        </is>
      </c>
      <c r="M137" s="20" t="str"/>
      <c r="N137" s="20" t="inlineStr">
        <is>
          <t>PENDING</t>
        </is>
      </c>
      <c r="O137" s="20" t="inlineStr">
        <is>
          <t>待确认</t>
        </is>
      </c>
      <c r="P137" s="20" t="str"/>
    </row>
    <row r="138">
      <c r="A138" s="20" t="n">
        <v>135</v>
      </c>
      <c r="B138" s="20" t="str"/>
      <c r="C138" s="20" t="str"/>
      <c r="D138" s="20" t="str"/>
      <c r="E138" s="20" t="str"/>
      <c r="F138" s="20" t="str"/>
      <c r="G138" s="20" t="str"/>
      <c r="H138" s="20" t="str"/>
      <c r="I138" s="20" t="str"/>
      <c r="J138" s="20" t="str"/>
      <c r="K138" s="20" t="str"/>
      <c r="L138" s="20" t="inlineStr">
        <is>
          <t>待确认</t>
        </is>
      </c>
      <c r="M138" s="20" t="str"/>
      <c r="N138" s="20" t="inlineStr">
        <is>
          <t>PENDING</t>
        </is>
      </c>
      <c r="O138" s="20" t="inlineStr">
        <is>
          <t>待确认</t>
        </is>
      </c>
      <c r="P138" s="20" t="str"/>
    </row>
    <row r="139">
      <c r="A139" s="20" t="n">
        <v>136</v>
      </c>
      <c r="B139" s="20" t="str"/>
      <c r="C139" s="20" t="str"/>
      <c r="D139" s="20" t="str"/>
      <c r="E139" s="20" t="str"/>
      <c r="F139" s="20" t="str"/>
      <c r="G139" s="20" t="str"/>
      <c r="H139" s="20" t="str"/>
      <c r="I139" s="20" t="str"/>
      <c r="J139" s="20" t="str"/>
      <c r="K139" s="20" t="str"/>
      <c r="L139" s="20" t="inlineStr">
        <is>
          <t>待确认</t>
        </is>
      </c>
      <c r="M139" s="20" t="str"/>
      <c r="N139" s="20" t="inlineStr">
        <is>
          <t>PENDING</t>
        </is>
      </c>
      <c r="O139" s="20" t="inlineStr">
        <is>
          <t>待确认</t>
        </is>
      </c>
      <c r="P139" s="20" t="str"/>
    </row>
    <row r="140">
      <c r="A140" s="20" t="n">
        <v>137</v>
      </c>
      <c r="B140" s="20" t="str"/>
      <c r="C140" s="20" t="str"/>
      <c r="D140" s="20" t="str"/>
      <c r="E140" s="20" t="str"/>
      <c r="F140" s="20" t="str"/>
      <c r="G140" s="20" t="str"/>
      <c r="H140" s="20" t="str"/>
      <c r="I140" s="20" t="str"/>
      <c r="J140" s="20" t="str"/>
      <c r="K140" s="20" t="str"/>
      <c r="L140" s="20" t="inlineStr">
        <is>
          <t>待确认</t>
        </is>
      </c>
      <c r="M140" s="20" t="str"/>
      <c r="N140" s="20" t="inlineStr">
        <is>
          <t>PENDING</t>
        </is>
      </c>
      <c r="O140" s="20" t="inlineStr">
        <is>
          <t>待确认</t>
        </is>
      </c>
      <c r="P140" s="20" t="str"/>
    </row>
    <row r="141">
      <c r="A141" s="20" t="n">
        <v>138</v>
      </c>
      <c r="B141" s="20" t="str"/>
      <c r="C141" s="20" t="str"/>
      <c r="D141" s="20" t="str"/>
      <c r="E141" s="20" t="str"/>
      <c r="F141" s="20" t="str"/>
      <c r="G141" s="20" t="str"/>
      <c r="H141" s="20" t="str"/>
      <c r="I141" s="20" t="str"/>
      <c r="J141" s="20" t="str"/>
      <c r="K141" s="20" t="str"/>
      <c r="L141" s="20" t="inlineStr">
        <is>
          <t>待确认</t>
        </is>
      </c>
      <c r="M141" s="20" t="str"/>
      <c r="N141" s="20" t="inlineStr">
        <is>
          <t>PENDING</t>
        </is>
      </c>
      <c r="O141" s="20" t="inlineStr">
        <is>
          <t>待确认</t>
        </is>
      </c>
      <c r="P141" s="20" t="str"/>
    </row>
    <row r="142">
      <c r="A142" s="20" t="n">
        <v>139</v>
      </c>
      <c r="B142" s="20" t="str"/>
      <c r="C142" s="20" t="str"/>
      <c r="D142" s="20" t="str"/>
      <c r="E142" s="20" t="str"/>
      <c r="F142" s="20" t="str"/>
      <c r="G142" s="20" t="str"/>
      <c r="H142" s="20" t="str"/>
      <c r="I142" s="20" t="str"/>
      <c r="J142" s="20" t="str"/>
      <c r="K142" s="20" t="str"/>
      <c r="L142" s="20" t="inlineStr">
        <is>
          <t>待确认</t>
        </is>
      </c>
      <c r="M142" s="20" t="str"/>
      <c r="N142" s="20" t="inlineStr">
        <is>
          <t>PENDING</t>
        </is>
      </c>
      <c r="O142" s="20" t="inlineStr">
        <is>
          <t>待确认</t>
        </is>
      </c>
      <c r="P142" s="20" t="str"/>
    </row>
    <row r="143">
      <c r="A143" s="20" t="n">
        <v>140</v>
      </c>
      <c r="B143" s="20" t="str"/>
      <c r="C143" s="20" t="str"/>
      <c r="D143" s="20" t="str"/>
      <c r="E143" s="20" t="str"/>
      <c r="F143" s="20" t="str"/>
      <c r="G143" s="20" t="str"/>
      <c r="H143" s="20" t="str"/>
      <c r="I143" s="20" t="str"/>
      <c r="J143" s="20" t="str"/>
      <c r="K143" s="20" t="str"/>
      <c r="L143" s="20" t="inlineStr">
        <is>
          <t>待确认</t>
        </is>
      </c>
      <c r="M143" s="20" t="str"/>
      <c r="N143" s="20" t="inlineStr">
        <is>
          <t>PENDING</t>
        </is>
      </c>
      <c r="O143" s="20" t="inlineStr">
        <is>
          <t>待确认</t>
        </is>
      </c>
      <c r="P143" s="20" t="str"/>
    </row>
    <row r="144">
      <c r="A144" s="20" t="n">
        <v>141</v>
      </c>
      <c r="B144" s="20" t="str"/>
      <c r="C144" s="20" t="str"/>
      <c r="D144" s="20" t="str"/>
      <c r="E144" s="20" t="str"/>
      <c r="F144" s="20" t="str"/>
      <c r="G144" s="20" t="str"/>
      <c r="H144" s="20" t="str"/>
      <c r="I144" s="20" t="str"/>
      <c r="J144" s="20" t="str"/>
      <c r="K144" s="20" t="str"/>
      <c r="L144" s="20" t="inlineStr">
        <is>
          <t>待确认</t>
        </is>
      </c>
      <c r="M144" s="20" t="str"/>
      <c r="N144" s="20" t="inlineStr">
        <is>
          <t>PENDING</t>
        </is>
      </c>
      <c r="O144" s="20" t="inlineStr">
        <is>
          <t>待确认</t>
        </is>
      </c>
      <c r="P144" s="20" t="str"/>
    </row>
    <row r="145">
      <c r="A145" s="20" t="n">
        <v>142</v>
      </c>
      <c r="B145" s="20" t="str"/>
      <c r="C145" s="20" t="str"/>
      <c r="D145" s="20" t="str"/>
      <c r="E145" s="20" t="str"/>
      <c r="F145" s="20" t="str"/>
      <c r="G145" s="20" t="str"/>
      <c r="H145" s="20" t="str"/>
      <c r="I145" s="20" t="str"/>
      <c r="J145" s="20" t="str"/>
      <c r="K145" s="20" t="str"/>
      <c r="L145" s="20" t="inlineStr">
        <is>
          <t>待确认</t>
        </is>
      </c>
      <c r="M145" s="20" t="str"/>
      <c r="N145" s="20" t="inlineStr">
        <is>
          <t>PENDING</t>
        </is>
      </c>
      <c r="O145" s="20" t="inlineStr">
        <is>
          <t>待确认</t>
        </is>
      </c>
      <c r="P145" s="20" t="str"/>
    </row>
    <row r="146">
      <c r="A146" s="20" t="n">
        <v>143</v>
      </c>
      <c r="B146" s="20" t="str"/>
      <c r="C146" s="20" t="str"/>
      <c r="D146" s="20" t="str"/>
      <c r="E146" s="20" t="str"/>
      <c r="F146" s="20" t="str"/>
      <c r="G146" s="20" t="str"/>
      <c r="H146" s="20" t="str"/>
      <c r="I146" s="20" t="str"/>
      <c r="J146" s="20" t="str"/>
      <c r="K146" s="20" t="str"/>
      <c r="L146" s="20" t="inlineStr">
        <is>
          <t>待确认</t>
        </is>
      </c>
      <c r="M146" s="20" t="str"/>
      <c r="N146" s="20" t="inlineStr">
        <is>
          <t>PENDING</t>
        </is>
      </c>
      <c r="O146" s="20" t="inlineStr">
        <is>
          <t>待确认</t>
        </is>
      </c>
      <c r="P146" s="20" t="str"/>
    </row>
    <row r="147">
      <c r="A147" s="20" t="n">
        <v>144</v>
      </c>
      <c r="B147" s="20" t="str"/>
      <c r="C147" s="20" t="str"/>
      <c r="D147" s="20" t="str"/>
      <c r="E147" s="20" t="str"/>
      <c r="F147" s="20" t="str"/>
      <c r="G147" s="20" t="str"/>
      <c r="H147" s="20" t="str"/>
      <c r="I147" s="20" t="str"/>
      <c r="J147" s="20" t="str"/>
      <c r="K147" s="20" t="str"/>
      <c r="L147" s="20" t="inlineStr">
        <is>
          <t>待确认</t>
        </is>
      </c>
      <c r="M147" s="20" t="str"/>
      <c r="N147" s="20" t="inlineStr">
        <is>
          <t>PENDING</t>
        </is>
      </c>
      <c r="O147" s="20" t="inlineStr">
        <is>
          <t>待确认</t>
        </is>
      </c>
      <c r="P147" s="20" t="str"/>
    </row>
    <row r="148">
      <c r="A148" s="20" t="n">
        <v>145</v>
      </c>
      <c r="B148" s="20" t="str"/>
      <c r="C148" s="20" t="str"/>
      <c r="D148" s="20" t="str"/>
      <c r="E148" s="20" t="str"/>
      <c r="F148" s="20" t="str"/>
      <c r="G148" s="20" t="str"/>
      <c r="H148" s="20" t="str"/>
      <c r="I148" s="20" t="str"/>
      <c r="J148" s="20" t="str"/>
      <c r="K148" s="20" t="str"/>
      <c r="L148" s="20" t="inlineStr">
        <is>
          <t>待确认</t>
        </is>
      </c>
      <c r="M148" s="20" t="str"/>
      <c r="N148" s="20" t="inlineStr">
        <is>
          <t>PENDING</t>
        </is>
      </c>
      <c r="O148" s="20" t="inlineStr">
        <is>
          <t>待确认</t>
        </is>
      </c>
      <c r="P148" s="20" t="str"/>
    </row>
    <row r="149">
      <c r="A149" s="20" t="n">
        <v>146</v>
      </c>
      <c r="B149" s="20" t="str"/>
      <c r="C149" s="20" t="str"/>
      <c r="D149" s="20" t="str"/>
      <c r="E149" s="20" t="str"/>
      <c r="F149" s="20" t="str"/>
      <c r="G149" s="20" t="str"/>
      <c r="H149" s="20" t="str"/>
      <c r="I149" s="20" t="str"/>
      <c r="J149" s="20" t="str"/>
      <c r="K149" s="20" t="str"/>
      <c r="L149" s="20" t="inlineStr">
        <is>
          <t>待确认</t>
        </is>
      </c>
      <c r="M149" s="20" t="str"/>
      <c r="N149" s="20" t="inlineStr">
        <is>
          <t>PENDING</t>
        </is>
      </c>
      <c r="O149" s="20" t="inlineStr">
        <is>
          <t>待确认</t>
        </is>
      </c>
      <c r="P149" s="20" t="str"/>
    </row>
    <row r="150">
      <c r="A150" s="20" t="n">
        <v>147</v>
      </c>
      <c r="B150" s="20" t="str"/>
      <c r="C150" s="20" t="str"/>
      <c r="D150" s="20" t="str"/>
      <c r="E150" s="20" t="str"/>
      <c r="F150" s="20" t="str"/>
      <c r="G150" s="20" t="str"/>
      <c r="H150" s="20" t="str"/>
      <c r="I150" s="20" t="str"/>
      <c r="J150" s="20" t="str"/>
      <c r="K150" s="20" t="str"/>
      <c r="L150" s="20" t="inlineStr">
        <is>
          <t>待确认</t>
        </is>
      </c>
      <c r="M150" s="20" t="str"/>
      <c r="N150" s="20" t="inlineStr">
        <is>
          <t>PENDING</t>
        </is>
      </c>
      <c r="O150" s="20" t="inlineStr">
        <is>
          <t>待确认</t>
        </is>
      </c>
      <c r="P150" s="20" t="str"/>
    </row>
    <row r="151">
      <c r="A151" s="20" t="n">
        <v>148</v>
      </c>
      <c r="B151" s="20" t="str"/>
      <c r="C151" s="20" t="str"/>
      <c r="D151" s="20" t="str"/>
      <c r="E151" s="20" t="str"/>
      <c r="F151" s="20" t="str"/>
      <c r="G151" s="20" t="str"/>
      <c r="H151" s="20" t="str"/>
      <c r="I151" s="20" t="str"/>
      <c r="J151" s="20" t="str"/>
      <c r="K151" s="20" t="str"/>
      <c r="L151" s="20" t="inlineStr">
        <is>
          <t>待确认</t>
        </is>
      </c>
      <c r="M151" s="20" t="str"/>
      <c r="N151" s="20" t="inlineStr">
        <is>
          <t>PENDING</t>
        </is>
      </c>
      <c r="O151" s="20" t="inlineStr">
        <is>
          <t>待确认</t>
        </is>
      </c>
      <c r="P151" s="20" t="str"/>
    </row>
    <row r="152">
      <c r="A152" s="20" t="n">
        <v>149</v>
      </c>
      <c r="B152" s="20" t="str"/>
      <c r="C152" s="20" t="str"/>
      <c r="D152" s="20" t="str"/>
      <c r="E152" s="20" t="str"/>
      <c r="F152" s="20" t="str"/>
      <c r="G152" s="20" t="str"/>
      <c r="H152" s="20" t="str"/>
      <c r="I152" s="20" t="str"/>
      <c r="J152" s="20" t="str"/>
      <c r="K152" s="20" t="str"/>
      <c r="L152" s="20" t="inlineStr">
        <is>
          <t>待确认</t>
        </is>
      </c>
      <c r="M152" s="20" t="str"/>
      <c r="N152" s="20" t="inlineStr">
        <is>
          <t>PENDING</t>
        </is>
      </c>
      <c r="O152" s="20" t="inlineStr">
        <is>
          <t>待确认</t>
        </is>
      </c>
      <c r="P152" s="20" t="str"/>
    </row>
    <row r="153">
      <c r="A153" s="20" t="n">
        <v>150</v>
      </c>
      <c r="B153" s="20" t="str"/>
      <c r="C153" s="20" t="str"/>
      <c r="D153" s="20" t="str"/>
      <c r="E153" s="20" t="str"/>
      <c r="F153" s="20" t="str"/>
      <c r="G153" s="20" t="str"/>
      <c r="H153" s="20" t="str"/>
      <c r="I153" s="20" t="str"/>
      <c r="J153" s="20" t="str"/>
      <c r="K153" s="20" t="str"/>
      <c r="L153" s="20" t="inlineStr">
        <is>
          <t>待确认</t>
        </is>
      </c>
      <c r="M153" s="20" t="str"/>
      <c r="N153" s="20" t="inlineStr">
        <is>
          <t>PENDING</t>
        </is>
      </c>
      <c r="O153" s="20" t="inlineStr">
        <is>
          <t>待确认</t>
        </is>
      </c>
      <c r="P153" s="20" t="str"/>
    </row>
    <row r="154">
      <c r="A154" s="20" t="n">
        <v>151</v>
      </c>
      <c r="B154" s="20" t="str"/>
      <c r="C154" s="20" t="str"/>
      <c r="D154" s="20" t="str"/>
      <c r="E154" s="20" t="str"/>
      <c r="F154" s="20" t="str"/>
      <c r="G154" s="20" t="str"/>
      <c r="H154" s="20" t="str"/>
      <c r="I154" s="20" t="str"/>
      <c r="J154" s="20" t="str"/>
      <c r="K154" s="20" t="str"/>
      <c r="L154" s="20" t="inlineStr">
        <is>
          <t>待确认</t>
        </is>
      </c>
      <c r="M154" s="20" t="str"/>
      <c r="N154" s="20" t="inlineStr">
        <is>
          <t>PENDING</t>
        </is>
      </c>
      <c r="O154" s="20" t="inlineStr">
        <is>
          <t>待确认</t>
        </is>
      </c>
      <c r="P154" s="20" t="str"/>
    </row>
    <row r="155">
      <c r="A155" s="20" t="n">
        <v>152</v>
      </c>
      <c r="B155" s="20" t="str"/>
      <c r="C155" s="20" t="str"/>
      <c r="D155" s="20" t="str"/>
      <c r="E155" s="20" t="str"/>
      <c r="F155" s="20" t="str"/>
      <c r="G155" s="20" t="str"/>
      <c r="H155" s="20" t="str"/>
      <c r="I155" s="20" t="str"/>
      <c r="J155" s="20" t="str"/>
      <c r="K155" s="20" t="str"/>
      <c r="L155" s="20" t="inlineStr">
        <is>
          <t>待确认</t>
        </is>
      </c>
      <c r="M155" s="20" t="str"/>
      <c r="N155" s="20" t="inlineStr">
        <is>
          <t>PENDING</t>
        </is>
      </c>
      <c r="O155" s="20" t="inlineStr">
        <is>
          <t>待确认</t>
        </is>
      </c>
      <c r="P155" s="20" t="str"/>
    </row>
    <row r="156">
      <c r="A156" s="20" t="n">
        <v>153</v>
      </c>
      <c r="B156" s="20" t="str"/>
      <c r="C156" s="20" t="str"/>
      <c r="D156" s="20" t="str"/>
      <c r="E156" s="20" t="str"/>
      <c r="F156" s="20" t="str"/>
      <c r="G156" s="20" t="str"/>
      <c r="H156" s="20" t="str"/>
      <c r="I156" s="20" t="str"/>
      <c r="J156" s="20" t="str"/>
      <c r="K156" s="20" t="str"/>
      <c r="L156" s="20" t="inlineStr">
        <is>
          <t>待确认</t>
        </is>
      </c>
      <c r="M156" s="20" t="str"/>
      <c r="N156" s="20" t="inlineStr">
        <is>
          <t>PENDING</t>
        </is>
      </c>
      <c r="O156" s="20" t="inlineStr">
        <is>
          <t>待确认</t>
        </is>
      </c>
      <c r="P156" s="20" t="str"/>
    </row>
    <row r="157">
      <c r="A157" s="20" t="n">
        <v>154</v>
      </c>
      <c r="B157" s="20" t="str"/>
      <c r="C157" s="20" t="str"/>
      <c r="D157" s="20" t="str"/>
      <c r="E157" s="20" t="str"/>
      <c r="F157" s="20" t="str"/>
      <c r="G157" s="20" t="str"/>
      <c r="H157" s="20" t="str"/>
      <c r="I157" s="20" t="str"/>
      <c r="J157" s="20" t="str"/>
      <c r="K157" s="20" t="str"/>
      <c r="L157" s="20" t="inlineStr">
        <is>
          <t>待确认</t>
        </is>
      </c>
      <c r="M157" s="20" t="str"/>
      <c r="N157" s="20" t="inlineStr">
        <is>
          <t>PENDING</t>
        </is>
      </c>
      <c r="O157" s="20" t="inlineStr">
        <is>
          <t>待确认</t>
        </is>
      </c>
      <c r="P157" s="20" t="str"/>
    </row>
    <row r="158">
      <c r="A158" s="20" t="n">
        <v>155</v>
      </c>
      <c r="B158" s="20" t="str"/>
      <c r="C158" s="20" t="str"/>
      <c r="D158" s="20" t="str"/>
      <c r="E158" s="20" t="str"/>
      <c r="F158" s="20" t="str"/>
      <c r="G158" s="20" t="str"/>
      <c r="H158" s="20" t="str"/>
      <c r="I158" s="20" t="str"/>
      <c r="J158" s="20" t="str"/>
      <c r="K158" s="20" t="str"/>
      <c r="L158" s="20" t="inlineStr">
        <is>
          <t>待确认</t>
        </is>
      </c>
      <c r="M158" s="20" t="str"/>
      <c r="N158" s="20" t="inlineStr">
        <is>
          <t>PENDING</t>
        </is>
      </c>
      <c r="O158" s="20" t="inlineStr">
        <is>
          <t>待确认</t>
        </is>
      </c>
      <c r="P158" s="20" t="str"/>
    </row>
    <row r="159">
      <c r="A159" s="20" t="n">
        <v>156</v>
      </c>
      <c r="B159" s="20" t="str"/>
      <c r="C159" s="20" t="str"/>
      <c r="D159" s="20" t="str"/>
      <c r="E159" s="20" t="str"/>
      <c r="F159" s="20" t="str"/>
      <c r="G159" s="20" t="str"/>
      <c r="H159" s="20" t="str"/>
      <c r="I159" s="20" t="str"/>
      <c r="J159" s="20" t="str"/>
      <c r="K159" s="20" t="str"/>
      <c r="L159" s="20" t="inlineStr">
        <is>
          <t>待确认</t>
        </is>
      </c>
      <c r="M159" s="20" t="str"/>
      <c r="N159" s="20" t="inlineStr">
        <is>
          <t>PENDING</t>
        </is>
      </c>
      <c r="O159" s="20" t="inlineStr">
        <is>
          <t>待确认</t>
        </is>
      </c>
      <c r="P159" s="20" t="str"/>
    </row>
    <row r="160">
      <c r="A160" s="20" t="n">
        <v>157</v>
      </c>
      <c r="B160" s="20" t="str"/>
      <c r="C160" s="20" t="str"/>
      <c r="D160" s="20" t="str"/>
      <c r="E160" s="20" t="str"/>
      <c r="F160" s="20" t="str"/>
      <c r="G160" s="20" t="str"/>
      <c r="H160" s="20" t="str"/>
      <c r="I160" s="20" t="str"/>
      <c r="J160" s="20" t="str"/>
      <c r="K160" s="20" t="str"/>
      <c r="L160" s="20" t="inlineStr">
        <is>
          <t>待确认</t>
        </is>
      </c>
      <c r="M160" s="20" t="str"/>
      <c r="N160" s="20" t="inlineStr">
        <is>
          <t>PENDING</t>
        </is>
      </c>
      <c r="O160" s="20" t="inlineStr">
        <is>
          <t>待确认</t>
        </is>
      </c>
      <c r="P160" s="20" t="str"/>
    </row>
    <row r="161">
      <c r="A161" s="20" t="n">
        <v>158</v>
      </c>
      <c r="B161" s="20" t="str"/>
      <c r="C161" s="20" t="str"/>
      <c r="D161" s="20" t="str"/>
      <c r="E161" s="20" t="str"/>
      <c r="F161" s="20" t="str"/>
      <c r="G161" s="20" t="str"/>
      <c r="H161" s="20" t="str"/>
      <c r="I161" s="20" t="str"/>
      <c r="J161" s="20" t="str"/>
      <c r="K161" s="20" t="str"/>
      <c r="L161" s="20" t="inlineStr">
        <is>
          <t>待确认</t>
        </is>
      </c>
      <c r="M161" s="20" t="str"/>
      <c r="N161" s="20" t="inlineStr">
        <is>
          <t>PENDING</t>
        </is>
      </c>
      <c r="O161" s="20" t="inlineStr">
        <is>
          <t>待确认</t>
        </is>
      </c>
      <c r="P161" s="20" t="str"/>
    </row>
    <row r="162">
      <c r="A162" s="20" t="n">
        <v>159</v>
      </c>
      <c r="B162" s="20" t="str"/>
      <c r="C162" s="20" t="str"/>
      <c r="D162" s="20" t="str"/>
      <c r="E162" s="20" t="str"/>
      <c r="F162" s="20" t="str"/>
      <c r="G162" s="20" t="str"/>
      <c r="H162" s="20" t="str"/>
      <c r="I162" s="20" t="str"/>
      <c r="J162" s="20" t="str"/>
      <c r="K162" s="20" t="str"/>
      <c r="L162" s="20" t="inlineStr">
        <is>
          <t>待确认</t>
        </is>
      </c>
      <c r="M162" s="20" t="str"/>
      <c r="N162" s="20" t="inlineStr">
        <is>
          <t>PENDING</t>
        </is>
      </c>
      <c r="O162" s="20" t="inlineStr">
        <is>
          <t>待确认</t>
        </is>
      </c>
      <c r="P162" s="20" t="str"/>
    </row>
    <row r="163">
      <c r="A163" s="20" t="n">
        <v>160</v>
      </c>
      <c r="B163" s="20" t="str"/>
      <c r="C163" s="20" t="str"/>
      <c r="D163" s="20" t="str"/>
      <c r="E163" s="20" t="str"/>
      <c r="F163" s="20" t="str"/>
      <c r="G163" s="20" t="str"/>
      <c r="H163" s="20" t="str"/>
      <c r="I163" s="20" t="str"/>
      <c r="J163" s="20" t="str"/>
      <c r="K163" s="20" t="str"/>
      <c r="L163" s="20" t="inlineStr">
        <is>
          <t>待确认</t>
        </is>
      </c>
      <c r="M163" s="20" t="str"/>
      <c r="N163" s="20" t="inlineStr">
        <is>
          <t>PENDING</t>
        </is>
      </c>
      <c r="O163" s="20" t="inlineStr">
        <is>
          <t>待确认</t>
        </is>
      </c>
      <c r="P163" s="20" t="str"/>
    </row>
    <row r="164">
      <c r="A164" s="20" t="n">
        <v>161</v>
      </c>
      <c r="B164" s="20" t="str"/>
      <c r="C164" s="20" t="str"/>
      <c r="D164" s="20" t="str"/>
      <c r="E164" s="20" t="str"/>
      <c r="F164" s="20" t="str"/>
      <c r="G164" s="20" t="str"/>
      <c r="H164" s="20" t="str"/>
      <c r="I164" s="20" t="str"/>
      <c r="J164" s="20" t="str"/>
      <c r="K164" s="20" t="str"/>
      <c r="L164" s="20" t="inlineStr">
        <is>
          <t>待确认</t>
        </is>
      </c>
      <c r="M164" s="20" t="str"/>
      <c r="N164" s="20" t="inlineStr">
        <is>
          <t>PENDING</t>
        </is>
      </c>
      <c r="O164" s="20" t="inlineStr">
        <is>
          <t>待确认</t>
        </is>
      </c>
      <c r="P164" s="20" t="str"/>
    </row>
    <row r="165">
      <c r="A165" s="20" t="n">
        <v>162</v>
      </c>
      <c r="B165" s="20" t="str"/>
      <c r="C165" s="20" t="str"/>
      <c r="D165" s="20" t="str"/>
      <c r="E165" s="20" t="str"/>
      <c r="F165" s="20" t="str"/>
      <c r="G165" s="20" t="str"/>
      <c r="H165" s="20" t="str"/>
      <c r="I165" s="20" t="str"/>
      <c r="J165" s="20" t="str"/>
      <c r="K165" s="20" t="str"/>
      <c r="L165" s="20" t="inlineStr">
        <is>
          <t>待确认</t>
        </is>
      </c>
      <c r="M165" s="20" t="str"/>
      <c r="N165" s="20" t="inlineStr">
        <is>
          <t>PENDING</t>
        </is>
      </c>
      <c r="O165" s="20" t="inlineStr">
        <is>
          <t>待确认</t>
        </is>
      </c>
      <c r="P165" s="20" t="str"/>
    </row>
    <row r="166">
      <c r="A166" s="20" t="n">
        <v>163</v>
      </c>
      <c r="B166" s="20" t="str"/>
      <c r="C166" s="20" t="str"/>
      <c r="D166" s="20" t="str"/>
      <c r="E166" s="20" t="str"/>
      <c r="F166" s="20" t="str"/>
      <c r="G166" s="20" t="str"/>
      <c r="H166" s="20" t="str"/>
      <c r="I166" s="20" t="str"/>
      <c r="J166" s="20" t="str"/>
      <c r="K166" s="20" t="str"/>
      <c r="L166" s="20" t="inlineStr">
        <is>
          <t>待确认</t>
        </is>
      </c>
      <c r="M166" s="20" t="str"/>
      <c r="N166" s="20" t="inlineStr">
        <is>
          <t>PENDING</t>
        </is>
      </c>
      <c r="O166" s="20" t="inlineStr">
        <is>
          <t>待确认</t>
        </is>
      </c>
      <c r="P166" s="20" t="str"/>
    </row>
    <row r="167">
      <c r="A167" s="20" t="n">
        <v>164</v>
      </c>
      <c r="B167" s="20" t="str"/>
      <c r="C167" s="20" t="str"/>
      <c r="D167" s="20" t="str"/>
      <c r="E167" s="20" t="str"/>
      <c r="F167" s="20" t="str"/>
      <c r="G167" s="20" t="str"/>
      <c r="H167" s="20" t="str"/>
      <c r="I167" s="20" t="str"/>
      <c r="J167" s="20" t="str"/>
      <c r="K167" s="20" t="str"/>
      <c r="L167" s="20" t="inlineStr">
        <is>
          <t>待确认</t>
        </is>
      </c>
      <c r="M167" s="20" t="str"/>
      <c r="N167" s="20" t="inlineStr">
        <is>
          <t>PENDING</t>
        </is>
      </c>
      <c r="O167" s="20" t="inlineStr">
        <is>
          <t>待确认</t>
        </is>
      </c>
      <c r="P167" s="20" t="str"/>
    </row>
    <row r="168">
      <c r="A168" s="20" t="n">
        <v>165</v>
      </c>
      <c r="B168" s="20" t="str"/>
      <c r="C168" s="20" t="str"/>
      <c r="D168" s="20" t="str"/>
      <c r="E168" s="20" t="str"/>
      <c r="F168" s="20" t="str"/>
      <c r="G168" s="20" t="str"/>
      <c r="H168" s="20" t="str"/>
      <c r="I168" s="20" t="str"/>
      <c r="J168" s="20" t="str"/>
      <c r="K168" s="20" t="str"/>
      <c r="L168" s="20" t="inlineStr">
        <is>
          <t>待确认</t>
        </is>
      </c>
      <c r="M168" s="20" t="str"/>
      <c r="N168" s="20" t="inlineStr">
        <is>
          <t>PENDING</t>
        </is>
      </c>
      <c r="O168" s="20" t="inlineStr">
        <is>
          <t>待确认</t>
        </is>
      </c>
      <c r="P168" s="20" t="str"/>
    </row>
    <row r="169">
      <c r="A169" s="20" t="n">
        <v>166</v>
      </c>
      <c r="B169" s="20" t="str"/>
      <c r="C169" s="20" t="str"/>
      <c r="D169" s="20" t="str"/>
      <c r="E169" s="20" t="str"/>
      <c r="F169" s="20" t="str"/>
      <c r="G169" s="20" t="str"/>
      <c r="H169" s="20" t="str"/>
      <c r="I169" s="20" t="str"/>
      <c r="J169" s="20" t="str"/>
      <c r="K169" s="20" t="str"/>
      <c r="L169" s="20" t="inlineStr">
        <is>
          <t>待确认</t>
        </is>
      </c>
      <c r="M169" s="20" t="str"/>
      <c r="N169" s="20" t="inlineStr">
        <is>
          <t>PENDING</t>
        </is>
      </c>
      <c r="O169" s="20" t="inlineStr">
        <is>
          <t>待确认</t>
        </is>
      </c>
      <c r="P169" s="20" t="str"/>
    </row>
    <row r="170">
      <c r="A170" s="20" t="n">
        <v>167</v>
      </c>
      <c r="B170" s="20" t="str"/>
      <c r="C170" s="20" t="str"/>
      <c r="D170" s="20" t="str"/>
      <c r="E170" s="20" t="str"/>
      <c r="F170" s="20" t="str"/>
      <c r="G170" s="20" t="str"/>
      <c r="H170" s="20" t="str"/>
      <c r="I170" s="20" t="str"/>
      <c r="J170" s="20" t="str"/>
      <c r="K170" s="20" t="str"/>
      <c r="L170" s="20" t="inlineStr">
        <is>
          <t>待确认</t>
        </is>
      </c>
      <c r="M170" s="20" t="str"/>
      <c r="N170" s="20" t="inlineStr">
        <is>
          <t>PENDING</t>
        </is>
      </c>
      <c r="O170" s="20" t="inlineStr">
        <is>
          <t>待确认</t>
        </is>
      </c>
      <c r="P170" s="20" t="str"/>
    </row>
    <row r="171">
      <c r="A171" s="20" t="n">
        <v>168</v>
      </c>
      <c r="B171" s="20" t="str"/>
      <c r="C171" s="20" t="str"/>
      <c r="D171" s="20" t="str"/>
      <c r="E171" s="20" t="str"/>
      <c r="F171" s="20" t="str"/>
      <c r="G171" s="20" t="str"/>
      <c r="H171" s="20" t="str"/>
      <c r="I171" s="20" t="str"/>
      <c r="J171" s="20" t="str"/>
      <c r="K171" s="20" t="str"/>
      <c r="L171" s="20" t="inlineStr">
        <is>
          <t>待确认</t>
        </is>
      </c>
      <c r="M171" s="20" t="str"/>
      <c r="N171" s="20" t="inlineStr">
        <is>
          <t>PENDING</t>
        </is>
      </c>
      <c r="O171" s="20" t="inlineStr">
        <is>
          <t>待确认</t>
        </is>
      </c>
      <c r="P171" s="20" t="str"/>
    </row>
    <row r="172">
      <c r="A172" s="20" t="n">
        <v>169</v>
      </c>
      <c r="B172" s="20" t="str"/>
      <c r="C172" s="20" t="str"/>
      <c r="D172" s="20" t="str"/>
      <c r="E172" s="20" t="str"/>
      <c r="F172" s="20" t="str"/>
      <c r="G172" s="20" t="str"/>
      <c r="H172" s="20" t="str"/>
      <c r="I172" s="20" t="str"/>
      <c r="J172" s="20" t="str"/>
      <c r="K172" s="20" t="str"/>
      <c r="L172" s="20" t="inlineStr">
        <is>
          <t>待确认</t>
        </is>
      </c>
      <c r="M172" s="20" t="str"/>
      <c r="N172" s="20" t="inlineStr">
        <is>
          <t>PENDING</t>
        </is>
      </c>
      <c r="O172" s="20" t="inlineStr">
        <is>
          <t>待确认</t>
        </is>
      </c>
      <c r="P172" s="20" t="str"/>
    </row>
    <row r="173">
      <c r="A173" s="20" t="n">
        <v>170</v>
      </c>
      <c r="B173" s="20" t="str"/>
      <c r="C173" s="20" t="str"/>
      <c r="D173" s="20" t="str"/>
      <c r="E173" s="20" t="str"/>
      <c r="F173" s="20" t="str"/>
      <c r="G173" s="20" t="str"/>
      <c r="H173" s="20" t="str"/>
      <c r="I173" s="20" t="str"/>
      <c r="J173" s="20" t="str"/>
      <c r="K173" s="20" t="str"/>
      <c r="L173" s="20" t="inlineStr">
        <is>
          <t>待确认</t>
        </is>
      </c>
      <c r="M173" s="20" t="str"/>
      <c r="N173" s="20" t="inlineStr">
        <is>
          <t>PENDING</t>
        </is>
      </c>
      <c r="O173" s="20" t="inlineStr">
        <is>
          <t>待确认</t>
        </is>
      </c>
      <c r="P173" s="20" t="str"/>
    </row>
    <row r="174">
      <c r="A174" s="20" t="n">
        <v>171</v>
      </c>
      <c r="B174" s="20" t="str"/>
      <c r="C174" s="20" t="str"/>
      <c r="D174" s="20" t="str"/>
      <c r="E174" s="20" t="str"/>
      <c r="F174" s="20" t="str"/>
      <c r="G174" s="20" t="str"/>
      <c r="H174" s="20" t="str"/>
      <c r="I174" s="20" t="str"/>
      <c r="J174" s="20" t="str"/>
      <c r="K174" s="20" t="str"/>
      <c r="L174" s="20" t="inlineStr">
        <is>
          <t>待确认</t>
        </is>
      </c>
      <c r="M174" s="20" t="str"/>
      <c r="N174" s="20" t="inlineStr">
        <is>
          <t>PENDING</t>
        </is>
      </c>
      <c r="O174" s="20" t="inlineStr">
        <is>
          <t>待确认</t>
        </is>
      </c>
      <c r="P174" s="20" t="str"/>
    </row>
    <row r="175">
      <c r="A175" s="20" t="n">
        <v>172</v>
      </c>
      <c r="B175" s="20" t="str"/>
      <c r="C175" s="20" t="str"/>
      <c r="D175" s="20" t="str"/>
      <c r="E175" s="20" t="str"/>
      <c r="F175" s="20" t="str"/>
      <c r="G175" s="20" t="str"/>
      <c r="H175" s="20" t="str"/>
      <c r="I175" s="20" t="str"/>
      <c r="J175" s="20" t="str"/>
      <c r="K175" s="20" t="str"/>
      <c r="L175" s="20" t="inlineStr">
        <is>
          <t>待确认</t>
        </is>
      </c>
      <c r="M175" s="20" t="str"/>
      <c r="N175" s="20" t="inlineStr">
        <is>
          <t>PENDING</t>
        </is>
      </c>
      <c r="O175" s="20" t="inlineStr">
        <is>
          <t>待确认</t>
        </is>
      </c>
      <c r="P175" s="20" t="str"/>
    </row>
    <row r="176">
      <c r="A176" s="20" t="n">
        <v>173</v>
      </c>
      <c r="B176" s="20" t="str"/>
      <c r="C176" s="20" t="str"/>
      <c r="D176" s="20" t="str"/>
      <c r="E176" s="20" t="str"/>
      <c r="F176" s="20" t="str"/>
      <c r="G176" s="20" t="str"/>
      <c r="H176" s="20" t="str"/>
      <c r="I176" s="20" t="str"/>
      <c r="J176" s="20" t="str"/>
      <c r="K176" s="20" t="str"/>
      <c r="L176" s="20" t="inlineStr">
        <is>
          <t>待确认</t>
        </is>
      </c>
      <c r="M176" s="20" t="str"/>
      <c r="N176" s="20" t="inlineStr">
        <is>
          <t>PENDING</t>
        </is>
      </c>
      <c r="O176" s="20" t="inlineStr">
        <is>
          <t>待确认</t>
        </is>
      </c>
      <c r="P176" s="20" t="str"/>
    </row>
    <row r="177">
      <c r="A177" s="20" t="n">
        <v>174</v>
      </c>
      <c r="B177" s="20" t="str"/>
      <c r="C177" s="20" t="str"/>
      <c r="D177" s="20" t="str"/>
      <c r="E177" s="20" t="str"/>
      <c r="F177" s="20" t="str"/>
      <c r="G177" s="20" t="str"/>
      <c r="H177" s="20" t="str"/>
      <c r="I177" s="20" t="str"/>
      <c r="J177" s="20" t="str"/>
      <c r="K177" s="20" t="str"/>
      <c r="L177" s="20" t="inlineStr">
        <is>
          <t>待确认</t>
        </is>
      </c>
      <c r="M177" s="20" t="str"/>
      <c r="N177" s="20" t="inlineStr">
        <is>
          <t>PENDING</t>
        </is>
      </c>
      <c r="O177" s="20" t="inlineStr">
        <is>
          <t>待确认</t>
        </is>
      </c>
      <c r="P177" s="20" t="str"/>
    </row>
    <row r="178">
      <c r="A178" s="20" t="n">
        <v>175</v>
      </c>
      <c r="B178" s="20" t="str"/>
      <c r="C178" s="20" t="str"/>
      <c r="D178" s="20" t="str"/>
      <c r="E178" s="20" t="str"/>
      <c r="F178" s="20" t="str"/>
      <c r="G178" s="20" t="str"/>
      <c r="H178" s="20" t="str"/>
      <c r="I178" s="20" t="str"/>
      <c r="J178" s="20" t="str"/>
      <c r="K178" s="20" t="str"/>
      <c r="L178" s="20" t="inlineStr">
        <is>
          <t>待确认</t>
        </is>
      </c>
      <c r="M178" s="20" t="str"/>
      <c r="N178" s="20" t="inlineStr">
        <is>
          <t>PENDING</t>
        </is>
      </c>
      <c r="O178" s="20" t="inlineStr">
        <is>
          <t>待确认</t>
        </is>
      </c>
      <c r="P178" s="20" t="str"/>
    </row>
    <row r="179">
      <c r="A179" s="20" t="n">
        <v>176</v>
      </c>
      <c r="B179" s="20" t="str"/>
      <c r="C179" s="20" t="str"/>
      <c r="D179" s="20" t="str"/>
      <c r="E179" s="20" t="str"/>
      <c r="F179" s="20" t="str"/>
      <c r="G179" s="20" t="str"/>
      <c r="H179" s="20" t="str"/>
      <c r="I179" s="20" t="str"/>
      <c r="J179" s="20" t="str"/>
      <c r="K179" s="20" t="str"/>
      <c r="L179" s="20" t="inlineStr">
        <is>
          <t>待确认</t>
        </is>
      </c>
      <c r="M179" s="20" t="str"/>
      <c r="N179" s="20" t="inlineStr">
        <is>
          <t>PENDING</t>
        </is>
      </c>
      <c r="O179" s="20" t="inlineStr">
        <is>
          <t>待确认</t>
        </is>
      </c>
      <c r="P179" s="20" t="str"/>
    </row>
    <row r="180">
      <c r="A180" s="20" t="n">
        <v>177</v>
      </c>
      <c r="B180" s="20" t="str"/>
      <c r="C180" s="20" t="str"/>
      <c r="D180" s="20" t="str"/>
      <c r="E180" s="20" t="str"/>
      <c r="F180" s="20" t="str"/>
      <c r="G180" s="20" t="str"/>
      <c r="H180" s="20" t="str"/>
      <c r="I180" s="20" t="str"/>
      <c r="J180" s="20" t="str"/>
      <c r="K180" s="20" t="str"/>
      <c r="L180" s="20" t="inlineStr">
        <is>
          <t>待确认</t>
        </is>
      </c>
      <c r="M180" s="20" t="str"/>
      <c r="N180" s="20" t="inlineStr">
        <is>
          <t>PENDING</t>
        </is>
      </c>
      <c r="O180" s="20" t="inlineStr">
        <is>
          <t>待确认</t>
        </is>
      </c>
      <c r="P180" s="20" t="str"/>
    </row>
    <row r="181">
      <c r="A181" s="20" t="n">
        <v>178</v>
      </c>
      <c r="B181" s="20" t="str"/>
      <c r="C181" s="20" t="str"/>
      <c r="D181" s="20" t="str"/>
      <c r="E181" s="20" t="str"/>
      <c r="F181" s="20" t="str"/>
      <c r="G181" s="20" t="str"/>
      <c r="H181" s="20" t="str"/>
      <c r="I181" s="20" t="str"/>
      <c r="J181" s="20" t="str"/>
      <c r="K181" s="20" t="str"/>
      <c r="L181" s="20" t="inlineStr">
        <is>
          <t>待确认</t>
        </is>
      </c>
      <c r="M181" s="20" t="str"/>
      <c r="N181" s="20" t="inlineStr">
        <is>
          <t>PENDING</t>
        </is>
      </c>
      <c r="O181" s="20" t="inlineStr">
        <is>
          <t>待确认</t>
        </is>
      </c>
      <c r="P181" s="20" t="str"/>
    </row>
    <row r="182">
      <c r="A182" s="20" t="n">
        <v>179</v>
      </c>
      <c r="B182" s="20" t="str"/>
      <c r="C182" s="20" t="str"/>
      <c r="D182" s="20" t="str"/>
      <c r="E182" s="20" t="str"/>
      <c r="F182" s="20" t="str"/>
      <c r="G182" s="20" t="str"/>
      <c r="H182" s="20" t="str"/>
      <c r="I182" s="20" t="str"/>
      <c r="J182" s="20" t="str"/>
      <c r="K182" s="20" t="str"/>
      <c r="L182" s="20" t="inlineStr">
        <is>
          <t>待确认</t>
        </is>
      </c>
      <c r="M182" s="20" t="str"/>
      <c r="N182" s="20" t="inlineStr">
        <is>
          <t>PENDING</t>
        </is>
      </c>
      <c r="O182" s="20" t="inlineStr">
        <is>
          <t>待确认</t>
        </is>
      </c>
      <c r="P182" s="20" t="str"/>
    </row>
    <row r="183">
      <c r="A183" s="20" t="n">
        <v>180</v>
      </c>
      <c r="B183" s="20" t="str"/>
      <c r="C183" s="20" t="str"/>
      <c r="D183" s="20" t="str"/>
      <c r="E183" s="20" t="str"/>
      <c r="F183" s="20" t="str"/>
      <c r="G183" s="20" t="str"/>
      <c r="H183" s="20" t="str"/>
      <c r="I183" s="20" t="str"/>
      <c r="J183" s="20" t="str"/>
      <c r="K183" s="20" t="str"/>
      <c r="L183" s="20" t="inlineStr">
        <is>
          <t>待确认</t>
        </is>
      </c>
      <c r="M183" s="20" t="str"/>
      <c r="N183" s="20" t="inlineStr">
        <is>
          <t>PENDING</t>
        </is>
      </c>
      <c r="O183" s="20" t="inlineStr">
        <is>
          <t>待确认</t>
        </is>
      </c>
      <c r="P183" s="20" t="str"/>
    </row>
    <row r="184">
      <c r="A184" s="20" t="n">
        <v>181</v>
      </c>
      <c r="B184" s="20" t="str"/>
      <c r="C184" s="20" t="str"/>
      <c r="D184" s="20" t="str"/>
      <c r="E184" s="20" t="str"/>
      <c r="F184" s="20" t="str"/>
      <c r="G184" s="20" t="str"/>
      <c r="H184" s="20" t="str"/>
      <c r="I184" s="20" t="str"/>
      <c r="J184" s="20" t="str"/>
      <c r="K184" s="20" t="str"/>
      <c r="L184" s="20" t="inlineStr">
        <is>
          <t>待确认</t>
        </is>
      </c>
      <c r="M184" s="20" t="str"/>
      <c r="N184" s="20" t="inlineStr">
        <is>
          <t>PENDING</t>
        </is>
      </c>
      <c r="O184" s="20" t="inlineStr">
        <is>
          <t>待确认</t>
        </is>
      </c>
      <c r="P184" s="20" t="str"/>
    </row>
    <row r="185">
      <c r="A185" s="20" t="n">
        <v>182</v>
      </c>
      <c r="B185" s="20" t="str"/>
      <c r="C185" s="20" t="str"/>
      <c r="D185" s="20" t="str"/>
      <c r="E185" s="20" t="str"/>
      <c r="F185" s="20" t="str"/>
      <c r="G185" s="20" t="str"/>
      <c r="H185" s="20" t="str"/>
      <c r="I185" s="20" t="str"/>
      <c r="J185" s="20" t="str"/>
      <c r="K185" s="20" t="str"/>
      <c r="L185" s="20" t="inlineStr">
        <is>
          <t>待确认</t>
        </is>
      </c>
      <c r="M185" s="20" t="str"/>
      <c r="N185" s="20" t="inlineStr">
        <is>
          <t>PENDING</t>
        </is>
      </c>
      <c r="O185" s="20" t="inlineStr">
        <is>
          <t>待确认</t>
        </is>
      </c>
      <c r="P185" s="20" t="str"/>
    </row>
    <row r="186">
      <c r="A186" s="20" t="n">
        <v>183</v>
      </c>
      <c r="B186" s="20" t="str"/>
      <c r="C186" s="20" t="str"/>
      <c r="D186" s="20" t="str"/>
      <c r="E186" s="20" t="str"/>
      <c r="F186" s="20" t="str"/>
      <c r="G186" s="20" t="str"/>
      <c r="H186" s="20" t="str"/>
      <c r="I186" s="20" t="str"/>
      <c r="J186" s="20" t="str"/>
      <c r="K186" s="20" t="str"/>
      <c r="L186" s="20" t="inlineStr">
        <is>
          <t>待确认</t>
        </is>
      </c>
      <c r="M186" s="20" t="str"/>
      <c r="N186" s="20" t="inlineStr">
        <is>
          <t>PENDING</t>
        </is>
      </c>
      <c r="O186" s="20" t="inlineStr">
        <is>
          <t>待确认</t>
        </is>
      </c>
      <c r="P186" s="20" t="str"/>
    </row>
    <row r="187">
      <c r="A187" s="20" t="n">
        <v>184</v>
      </c>
      <c r="B187" s="20" t="str"/>
      <c r="C187" s="20" t="str"/>
      <c r="D187" s="20" t="str"/>
      <c r="E187" s="20" t="str"/>
      <c r="F187" s="20" t="str"/>
      <c r="G187" s="20" t="str"/>
      <c r="H187" s="20" t="str"/>
      <c r="I187" s="20" t="str"/>
      <c r="J187" s="20" t="str"/>
      <c r="K187" s="20" t="str"/>
      <c r="L187" s="20" t="inlineStr">
        <is>
          <t>待确认</t>
        </is>
      </c>
      <c r="M187" s="20" t="str"/>
      <c r="N187" s="20" t="inlineStr">
        <is>
          <t>PENDING</t>
        </is>
      </c>
      <c r="O187" s="20" t="inlineStr">
        <is>
          <t>待确认</t>
        </is>
      </c>
      <c r="P187" s="20" t="str"/>
    </row>
    <row r="188">
      <c r="A188" s="20" t="n">
        <v>185</v>
      </c>
      <c r="B188" s="20" t="str"/>
      <c r="C188" s="20" t="str"/>
      <c r="D188" s="20" t="str"/>
      <c r="E188" s="20" t="str"/>
      <c r="F188" s="20" t="str"/>
      <c r="G188" s="20" t="str"/>
      <c r="H188" s="20" t="str"/>
      <c r="I188" s="20" t="str"/>
      <c r="J188" s="20" t="str"/>
      <c r="K188" s="20" t="str"/>
      <c r="L188" s="20" t="inlineStr">
        <is>
          <t>待确认</t>
        </is>
      </c>
      <c r="M188" s="20" t="str"/>
      <c r="N188" s="20" t="inlineStr">
        <is>
          <t>PENDING</t>
        </is>
      </c>
      <c r="O188" s="20" t="inlineStr">
        <is>
          <t>待确认</t>
        </is>
      </c>
      <c r="P188" s="20" t="str"/>
    </row>
    <row r="189">
      <c r="A189" s="20" t="n">
        <v>186</v>
      </c>
      <c r="B189" s="20" t="str"/>
      <c r="C189" s="20" t="str"/>
      <c r="D189" s="20" t="str"/>
      <c r="E189" s="20" t="str"/>
      <c r="F189" s="20" t="str"/>
      <c r="G189" s="20" t="str"/>
      <c r="H189" s="20" t="str"/>
      <c r="I189" s="20" t="str"/>
      <c r="J189" s="20" t="str"/>
      <c r="K189" s="20" t="str"/>
      <c r="L189" s="20" t="inlineStr">
        <is>
          <t>待确认</t>
        </is>
      </c>
      <c r="M189" s="20" t="str"/>
      <c r="N189" s="20" t="inlineStr">
        <is>
          <t>PENDING</t>
        </is>
      </c>
      <c r="O189" s="20" t="inlineStr">
        <is>
          <t>待确认</t>
        </is>
      </c>
      <c r="P189" s="20" t="str"/>
    </row>
    <row r="190">
      <c r="A190" s="20" t="n">
        <v>187</v>
      </c>
      <c r="B190" s="20" t="str"/>
      <c r="C190" s="20" t="str"/>
      <c r="D190" s="20" t="str"/>
      <c r="E190" s="20" t="str"/>
      <c r="F190" s="20" t="str"/>
      <c r="G190" s="20" t="str"/>
      <c r="H190" s="20" t="str"/>
      <c r="I190" s="20" t="str"/>
      <c r="J190" s="20" t="str"/>
      <c r="K190" s="20" t="str"/>
      <c r="L190" s="20" t="inlineStr">
        <is>
          <t>待确认</t>
        </is>
      </c>
      <c r="M190" s="20" t="str"/>
      <c r="N190" s="20" t="inlineStr">
        <is>
          <t>PENDING</t>
        </is>
      </c>
      <c r="O190" s="20" t="inlineStr">
        <is>
          <t>待确认</t>
        </is>
      </c>
      <c r="P190" s="20" t="str"/>
    </row>
    <row r="191">
      <c r="A191" s="20" t="n">
        <v>188</v>
      </c>
      <c r="B191" s="20" t="str"/>
      <c r="C191" s="20" t="str"/>
      <c r="D191" s="20" t="str"/>
      <c r="E191" s="20" t="str"/>
      <c r="F191" s="20" t="str"/>
      <c r="G191" s="20" t="str"/>
      <c r="H191" s="20" t="str"/>
      <c r="I191" s="20" t="str"/>
      <c r="J191" s="20" t="str"/>
      <c r="K191" s="20" t="str"/>
      <c r="L191" s="20" t="inlineStr">
        <is>
          <t>待确认</t>
        </is>
      </c>
      <c r="M191" s="20" t="str"/>
      <c r="N191" s="20" t="inlineStr">
        <is>
          <t>PENDING</t>
        </is>
      </c>
      <c r="O191" s="20" t="inlineStr">
        <is>
          <t>待确认</t>
        </is>
      </c>
      <c r="P191" s="20" t="str"/>
    </row>
    <row r="192">
      <c r="A192" s="20" t="n">
        <v>189</v>
      </c>
      <c r="B192" s="20" t="str"/>
      <c r="C192" s="20" t="str"/>
      <c r="D192" s="20" t="str"/>
      <c r="E192" s="20" t="str"/>
      <c r="F192" s="20" t="str"/>
      <c r="G192" s="20" t="str"/>
      <c r="H192" s="20" t="str"/>
      <c r="I192" s="20" t="str"/>
      <c r="J192" s="20" t="str"/>
      <c r="K192" s="20" t="str"/>
      <c r="L192" s="20" t="inlineStr">
        <is>
          <t>待确认</t>
        </is>
      </c>
      <c r="M192" s="20" t="str"/>
      <c r="N192" s="20" t="inlineStr">
        <is>
          <t>PENDING</t>
        </is>
      </c>
      <c r="O192" s="20" t="inlineStr">
        <is>
          <t>待确认</t>
        </is>
      </c>
      <c r="P192" s="20" t="str"/>
    </row>
    <row r="193">
      <c r="A193" s="20" t="n">
        <v>190</v>
      </c>
      <c r="B193" s="20" t="str"/>
      <c r="C193" s="20" t="str"/>
      <c r="D193" s="20" t="str"/>
      <c r="E193" s="20" t="str"/>
      <c r="F193" s="20" t="str"/>
      <c r="G193" s="20" t="str"/>
      <c r="H193" s="20" t="str"/>
      <c r="I193" s="20" t="str"/>
      <c r="J193" s="20" t="str"/>
      <c r="K193" s="20" t="str"/>
      <c r="L193" s="20" t="inlineStr">
        <is>
          <t>待确认</t>
        </is>
      </c>
      <c r="M193" s="20" t="str"/>
      <c r="N193" s="20" t="inlineStr">
        <is>
          <t>PENDING</t>
        </is>
      </c>
      <c r="O193" s="20" t="inlineStr">
        <is>
          <t>待确认</t>
        </is>
      </c>
      <c r="P193" s="20" t="str"/>
    </row>
    <row r="194">
      <c r="A194" s="20" t="n">
        <v>191</v>
      </c>
      <c r="B194" s="20" t="str"/>
      <c r="C194" s="20" t="str"/>
      <c r="D194" s="20" t="str"/>
      <c r="E194" s="20" t="str"/>
      <c r="F194" s="20" t="str"/>
      <c r="G194" s="20" t="str"/>
      <c r="H194" s="20" t="str"/>
      <c r="I194" s="20" t="str"/>
      <c r="J194" s="20" t="str"/>
      <c r="K194" s="20" t="str"/>
      <c r="L194" s="20" t="inlineStr">
        <is>
          <t>待确认</t>
        </is>
      </c>
      <c r="M194" s="20" t="str"/>
      <c r="N194" s="20" t="inlineStr">
        <is>
          <t>PENDING</t>
        </is>
      </c>
      <c r="O194" s="20" t="inlineStr">
        <is>
          <t>待确认</t>
        </is>
      </c>
      <c r="P194" s="20" t="str"/>
    </row>
    <row r="195">
      <c r="A195" s="20" t="n">
        <v>192</v>
      </c>
      <c r="B195" s="20" t="str"/>
      <c r="C195" s="20" t="str"/>
      <c r="D195" s="20" t="str"/>
      <c r="E195" s="20" t="str"/>
      <c r="F195" s="20" t="str"/>
      <c r="G195" s="20" t="str"/>
      <c r="H195" s="20" t="str"/>
      <c r="I195" s="20" t="str"/>
      <c r="J195" s="20" t="str"/>
      <c r="K195" s="20" t="str"/>
      <c r="L195" s="20" t="inlineStr">
        <is>
          <t>待确认</t>
        </is>
      </c>
      <c r="M195" s="20" t="str"/>
      <c r="N195" s="20" t="inlineStr">
        <is>
          <t>PENDING</t>
        </is>
      </c>
      <c r="O195" s="20" t="inlineStr">
        <is>
          <t>待确认</t>
        </is>
      </c>
      <c r="P195" s="20" t="str"/>
    </row>
    <row r="196">
      <c r="A196" s="20" t="n">
        <v>193</v>
      </c>
      <c r="B196" s="20" t="str"/>
      <c r="C196" s="20" t="str"/>
      <c r="D196" s="20" t="str"/>
      <c r="E196" s="20" t="str"/>
      <c r="F196" s="20" t="str"/>
      <c r="G196" s="20" t="str"/>
      <c r="H196" s="20" t="str"/>
      <c r="I196" s="20" t="str"/>
      <c r="J196" s="20" t="str"/>
      <c r="K196" s="20" t="str"/>
      <c r="L196" s="20" t="inlineStr">
        <is>
          <t>待确认</t>
        </is>
      </c>
      <c r="M196" s="20" t="str"/>
      <c r="N196" s="20" t="inlineStr">
        <is>
          <t>PENDING</t>
        </is>
      </c>
      <c r="O196" s="20" t="inlineStr">
        <is>
          <t>待确认</t>
        </is>
      </c>
      <c r="P196" s="20" t="str"/>
    </row>
    <row r="197">
      <c r="A197" s="20" t="n">
        <v>194</v>
      </c>
      <c r="B197" s="20" t="str"/>
      <c r="C197" s="20" t="str"/>
      <c r="D197" s="20" t="str"/>
      <c r="E197" s="20" t="str"/>
      <c r="F197" s="20" t="str"/>
      <c r="G197" s="20" t="str"/>
      <c r="H197" s="20" t="str"/>
      <c r="I197" s="20" t="str"/>
      <c r="J197" s="20" t="str"/>
      <c r="K197" s="20" t="str"/>
      <c r="L197" s="20" t="inlineStr">
        <is>
          <t>待确认</t>
        </is>
      </c>
      <c r="M197" s="20" t="str"/>
      <c r="N197" s="20" t="inlineStr">
        <is>
          <t>PENDING</t>
        </is>
      </c>
      <c r="O197" s="20" t="inlineStr">
        <is>
          <t>待确认</t>
        </is>
      </c>
      <c r="P197" s="20" t="str"/>
    </row>
    <row r="198">
      <c r="A198" s="20" t="n">
        <v>195</v>
      </c>
      <c r="B198" s="20" t="str"/>
      <c r="C198" s="20" t="str"/>
      <c r="D198" s="20" t="str"/>
      <c r="E198" s="20" t="str"/>
      <c r="F198" s="20" t="str"/>
      <c r="G198" s="20" t="str"/>
      <c r="H198" s="20" t="str"/>
      <c r="I198" s="20" t="str"/>
      <c r="J198" s="20" t="str"/>
      <c r="K198" s="20" t="str"/>
      <c r="L198" s="20" t="inlineStr">
        <is>
          <t>待确认</t>
        </is>
      </c>
      <c r="M198" s="20" t="str"/>
      <c r="N198" s="20" t="inlineStr">
        <is>
          <t>PENDING</t>
        </is>
      </c>
      <c r="O198" s="20" t="inlineStr">
        <is>
          <t>待确认</t>
        </is>
      </c>
      <c r="P198" s="20" t="str"/>
    </row>
    <row r="199">
      <c r="A199" s="20" t="n">
        <v>196</v>
      </c>
      <c r="B199" s="20" t="str"/>
      <c r="C199" s="20" t="str"/>
      <c r="D199" s="20" t="str"/>
      <c r="E199" s="20" t="str"/>
      <c r="F199" s="20" t="str"/>
      <c r="G199" s="20" t="str"/>
      <c r="H199" s="20" t="str"/>
      <c r="I199" s="20" t="str"/>
      <c r="J199" s="20" t="str"/>
      <c r="K199" s="20" t="str"/>
      <c r="L199" s="20" t="inlineStr">
        <is>
          <t>待确认</t>
        </is>
      </c>
      <c r="M199" s="20" t="str"/>
      <c r="N199" s="20" t="inlineStr">
        <is>
          <t>PENDING</t>
        </is>
      </c>
      <c r="O199" s="20" t="inlineStr">
        <is>
          <t>待确认</t>
        </is>
      </c>
      <c r="P199" s="20" t="str"/>
    </row>
    <row r="200">
      <c r="A200" s="20" t="n">
        <v>197</v>
      </c>
      <c r="B200" s="20" t="str"/>
      <c r="C200" s="20" t="str"/>
      <c r="D200" s="20" t="str"/>
      <c r="E200" s="20" t="str"/>
      <c r="F200" s="20" t="str"/>
      <c r="G200" s="20" t="str"/>
      <c r="H200" s="20" t="str"/>
      <c r="I200" s="20" t="str"/>
      <c r="J200" s="20" t="str"/>
      <c r="K200" s="20" t="str"/>
      <c r="L200" s="20" t="inlineStr">
        <is>
          <t>待确认</t>
        </is>
      </c>
      <c r="M200" s="20" t="str"/>
      <c r="N200" s="20" t="inlineStr">
        <is>
          <t>PENDING</t>
        </is>
      </c>
      <c r="O200" s="20" t="inlineStr">
        <is>
          <t>待确认</t>
        </is>
      </c>
      <c r="P200" s="20" t="str"/>
    </row>
    <row r="201">
      <c r="A201" s="20" t="n">
        <v>198</v>
      </c>
      <c r="B201" s="20" t="str"/>
      <c r="C201" s="20" t="str"/>
      <c r="D201" s="20" t="str"/>
      <c r="E201" s="20" t="str"/>
      <c r="F201" s="20" t="str"/>
      <c r="G201" s="20" t="str"/>
      <c r="H201" s="20" t="str"/>
      <c r="I201" s="20" t="str"/>
      <c r="J201" s="20" t="str"/>
      <c r="K201" s="20" t="str"/>
      <c r="L201" s="20" t="inlineStr">
        <is>
          <t>待确认</t>
        </is>
      </c>
      <c r="M201" s="20" t="str"/>
      <c r="N201" s="20" t="inlineStr">
        <is>
          <t>PENDING</t>
        </is>
      </c>
      <c r="O201" s="20" t="inlineStr">
        <is>
          <t>待确认</t>
        </is>
      </c>
      <c r="P201" s="20" t="str"/>
    </row>
    <row r="202">
      <c r="A202" s="20" t="n">
        <v>199</v>
      </c>
      <c r="B202" s="20" t="str"/>
      <c r="C202" s="20" t="str"/>
      <c r="D202" s="20" t="str"/>
      <c r="E202" s="20" t="str"/>
      <c r="F202" s="20" t="str"/>
      <c r="G202" s="20" t="str"/>
      <c r="H202" s="20" t="str"/>
      <c r="I202" s="20" t="str"/>
      <c r="J202" s="20" t="str"/>
      <c r="K202" s="20" t="str"/>
      <c r="L202" s="20" t="inlineStr">
        <is>
          <t>待确认</t>
        </is>
      </c>
      <c r="M202" s="20" t="str"/>
      <c r="N202" s="20" t="inlineStr">
        <is>
          <t>PENDING</t>
        </is>
      </c>
      <c r="O202" s="20" t="inlineStr">
        <is>
          <t>待确认</t>
        </is>
      </c>
      <c r="P202" s="20" t="str"/>
    </row>
    <row r="203">
      <c r="A203" s="20" t="n">
        <v>200</v>
      </c>
      <c r="B203" s="20" t="str"/>
      <c r="C203" s="20" t="str"/>
      <c r="D203" s="20" t="str"/>
      <c r="E203" s="20" t="str"/>
      <c r="F203" s="20" t="str"/>
      <c r="G203" s="20" t="str"/>
      <c r="H203" s="20" t="str"/>
      <c r="I203" s="20" t="str"/>
      <c r="J203" s="20" t="str"/>
      <c r="K203" s="20" t="str"/>
      <c r="L203" s="20" t="inlineStr">
        <is>
          <t>待确认</t>
        </is>
      </c>
      <c r="M203" s="20" t="str"/>
      <c r="N203" s="20" t="inlineStr">
        <is>
          <t>PENDING</t>
        </is>
      </c>
      <c r="O203" s="20" t="inlineStr">
        <is>
          <t>待确认</t>
        </is>
      </c>
      <c r="P203" s="20" t="str"/>
    </row>
    <row r="204">
      <c r="A204" s="20" t="n">
        <v>201</v>
      </c>
      <c r="B204" s="20" t="str"/>
      <c r="C204" s="20" t="str"/>
      <c r="D204" s="20" t="str"/>
      <c r="E204" s="20" t="str"/>
      <c r="F204" s="20" t="str"/>
      <c r="G204" s="20" t="str"/>
      <c r="H204" s="20" t="str"/>
      <c r="I204" s="20" t="str"/>
      <c r="J204" s="20" t="str"/>
      <c r="K204" s="20" t="str"/>
      <c r="L204" s="20" t="inlineStr">
        <is>
          <t>待确认</t>
        </is>
      </c>
      <c r="M204" s="20" t="str"/>
      <c r="N204" s="20" t="inlineStr">
        <is>
          <t>PENDING</t>
        </is>
      </c>
      <c r="O204" s="20" t="inlineStr">
        <is>
          <t>待确认</t>
        </is>
      </c>
      <c r="P204" s="20" t="str"/>
    </row>
    <row r="205">
      <c r="A205" s="20" t="n">
        <v>202</v>
      </c>
      <c r="B205" s="20" t="str"/>
      <c r="C205" s="20" t="str"/>
      <c r="D205" s="20" t="str"/>
      <c r="E205" s="20" t="str"/>
      <c r="F205" s="20" t="str"/>
      <c r="G205" s="20" t="str"/>
      <c r="H205" s="20" t="str"/>
      <c r="I205" s="20" t="str"/>
      <c r="J205" s="20" t="str"/>
      <c r="K205" s="20" t="str"/>
      <c r="L205" s="20" t="inlineStr">
        <is>
          <t>待确认</t>
        </is>
      </c>
      <c r="M205" s="20" t="str"/>
      <c r="N205" s="20" t="inlineStr">
        <is>
          <t>PENDING</t>
        </is>
      </c>
      <c r="O205" s="20" t="inlineStr">
        <is>
          <t>待确认</t>
        </is>
      </c>
      <c r="P205" s="20" t="str"/>
    </row>
    <row r="206">
      <c r="A206" s="20" t="n">
        <v>203</v>
      </c>
      <c r="B206" s="20" t="str"/>
      <c r="C206" s="20" t="str"/>
      <c r="D206" s="20" t="str"/>
      <c r="E206" s="20" t="str"/>
      <c r="F206" s="20" t="str"/>
      <c r="G206" s="20" t="str"/>
      <c r="H206" s="20" t="str"/>
      <c r="I206" s="20" t="str"/>
      <c r="J206" s="20" t="str"/>
      <c r="K206" s="20" t="str"/>
      <c r="L206" s="20" t="inlineStr">
        <is>
          <t>待确认</t>
        </is>
      </c>
      <c r="M206" s="20" t="str"/>
      <c r="N206" s="20" t="inlineStr">
        <is>
          <t>PENDING</t>
        </is>
      </c>
      <c r="O206" s="20" t="inlineStr">
        <is>
          <t>待确认</t>
        </is>
      </c>
      <c r="P206" s="20" t="str"/>
    </row>
    <row r="207">
      <c r="A207" s="20" t="n">
        <v>204</v>
      </c>
      <c r="B207" s="20" t="str"/>
      <c r="C207" s="20" t="str"/>
      <c r="D207" s="20" t="str"/>
      <c r="E207" s="20" t="str"/>
      <c r="F207" s="20" t="str"/>
      <c r="G207" s="20" t="str"/>
      <c r="H207" s="20" t="str"/>
      <c r="I207" s="20" t="str"/>
      <c r="J207" s="20" t="str"/>
      <c r="K207" s="20" t="str"/>
      <c r="L207" s="20" t="inlineStr">
        <is>
          <t>待确认</t>
        </is>
      </c>
      <c r="M207" s="20" t="str"/>
      <c r="N207" s="20" t="inlineStr">
        <is>
          <t>PENDING</t>
        </is>
      </c>
      <c r="O207" s="20" t="inlineStr">
        <is>
          <t>待确认</t>
        </is>
      </c>
      <c r="P207" s="20" t="str"/>
    </row>
    <row r="208">
      <c r="A208" s="20" t="n">
        <v>205</v>
      </c>
      <c r="B208" s="20" t="str"/>
      <c r="C208" s="20" t="str"/>
      <c r="D208" s="20" t="str"/>
      <c r="E208" s="20" t="str"/>
      <c r="F208" s="20" t="str"/>
      <c r="G208" s="20" t="str"/>
      <c r="H208" s="20" t="str"/>
      <c r="I208" s="20" t="str"/>
      <c r="J208" s="20" t="str"/>
      <c r="K208" s="20" t="str"/>
      <c r="L208" s="20" t="inlineStr">
        <is>
          <t>待确认</t>
        </is>
      </c>
      <c r="M208" s="20" t="str"/>
      <c r="N208" s="20" t="inlineStr">
        <is>
          <t>PENDING</t>
        </is>
      </c>
      <c r="O208" s="20" t="inlineStr">
        <is>
          <t>待确认</t>
        </is>
      </c>
      <c r="P208" s="20" t="str"/>
    </row>
    <row r="209">
      <c r="A209" s="20" t="n">
        <v>206</v>
      </c>
      <c r="B209" s="20" t="str"/>
      <c r="C209" s="20" t="str"/>
      <c r="D209" s="20" t="str"/>
      <c r="E209" s="20" t="str"/>
      <c r="F209" s="20" t="str"/>
      <c r="G209" s="20" t="str"/>
      <c r="H209" s="20" t="str"/>
      <c r="I209" s="20" t="str"/>
      <c r="J209" s="20" t="str"/>
      <c r="K209" s="20" t="str"/>
      <c r="L209" s="20" t="inlineStr">
        <is>
          <t>待确认</t>
        </is>
      </c>
      <c r="M209" s="20" t="str"/>
      <c r="N209" s="20" t="inlineStr">
        <is>
          <t>PENDING</t>
        </is>
      </c>
      <c r="O209" s="20" t="inlineStr">
        <is>
          <t>待确认</t>
        </is>
      </c>
      <c r="P209" s="20" t="str"/>
    </row>
    <row r="210">
      <c r="A210" s="20" t="n">
        <v>207</v>
      </c>
      <c r="B210" s="20" t="str"/>
      <c r="C210" s="20" t="str"/>
      <c r="D210" s="20" t="str"/>
      <c r="E210" s="20" t="str"/>
      <c r="F210" s="20" t="str"/>
      <c r="G210" s="20" t="str"/>
      <c r="H210" s="20" t="str"/>
      <c r="I210" s="20" t="str"/>
      <c r="J210" s="20" t="str"/>
      <c r="K210" s="20" t="str"/>
      <c r="L210" s="20" t="inlineStr">
        <is>
          <t>待确认</t>
        </is>
      </c>
      <c r="M210" s="20" t="str"/>
      <c r="N210" s="20" t="inlineStr">
        <is>
          <t>PENDING</t>
        </is>
      </c>
      <c r="O210" s="20" t="inlineStr">
        <is>
          <t>待确认</t>
        </is>
      </c>
      <c r="P210" s="20" t="str"/>
    </row>
    <row r="211">
      <c r="A211" s="20" t="n">
        <v>208</v>
      </c>
      <c r="B211" s="20" t="str"/>
      <c r="C211" s="20" t="str"/>
      <c r="D211" s="20" t="str"/>
      <c r="E211" s="20" t="str"/>
      <c r="F211" s="20" t="str"/>
      <c r="G211" s="20" t="str"/>
      <c r="H211" s="20" t="str"/>
      <c r="I211" s="20" t="str"/>
      <c r="J211" s="20" t="str"/>
      <c r="K211" s="20" t="str"/>
      <c r="L211" s="20" t="inlineStr">
        <is>
          <t>待确认</t>
        </is>
      </c>
      <c r="M211" s="20" t="str"/>
      <c r="N211" s="20" t="inlineStr">
        <is>
          <t>PENDING</t>
        </is>
      </c>
      <c r="O211" s="20" t="inlineStr">
        <is>
          <t>待确认</t>
        </is>
      </c>
      <c r="P211" s="20" t="str"/>
    </row>
    <row r="212">
      <c r="A212" s="20" t="n">
        <v>209</v>
      </c>
      <c r="B212" s="20" t="str"/>
      <c r="C212" s="20" t="str"/>
      <c r="D212" s="20" t="str"/>
      <c r="E212" s="20" t="str"/>
      <c r="F212" s="20" t="str"/>
      <c r="G212" s="20" t="str"/>
      <c r="H212" s="20" t="str"/>
      <c r="I212" s="20" t="str"/>
      <c r="J212" s="20" t="str"/>
      <c r="K212" s="20" t="str"/>
      <c r="L212" s="20" t="inlineStr">
        <is>
          <t>待确认</t>
        </is>
      </c>
      <c r="M212" s="20" t="str"/>
      <c r="N212" s="20" t="inlineStr">
        <is>
          <t>PENDING</t>
        </is>
      </c>
      <c r="O212" s="20" t="inlineStr">
        <is>
          <t>待确认</t>
        </is>
      </c>
      <c r="P212" s="20" t="str"/>
    </row>
    <row r="213">
      <c r="A213" s="20" t="n">
        <v>210</v>
      </c>
      <c r="B213" s="20" t="str"/>
      <c r="C213" s="20" t="str"/>
      <c r="D213" s="20" t="str"/>
      <c r="E213" s="20" t="str"/>
      <c r="F213" s="20" t="str"/>
      <c r="G213" s="20" t="str"/>
      <c r="H213" s="20" t="str"/>
      <c r="I213" s="20" t="str"/>
      <c r="J213" s="20" t="str"/>
      <c r="K213" s="20" t="str"/>
      <c r="L213" s="20" t="inlineStr">
        <is>
          <t>待确认</t>
        </is>
      </c>
      <c r="M213" s="20" t="str"/>
      <c r="N213" s="20" t="inlineStr">
        <is>
          <t>PENDING</t>
        </is>
      </c>
      <c r="O213" s="20" t="inlineStr">
        <is>
          <t>待确认</t>
        </is>
      </c>
      <c r="P213" s="20" t="str"/>
    </row>
    <row r="214">
      <c r="A214" s="20" t="n">
        <v>211</v>
      </c>
      <c r="B214" s="20" t="str"/>
      <c r="C214" s="20" t="str"/>
      <c r="D214" s="20" t="str"/>
      <c r="E214" s="20" t="str"/>
      <c r="F214" s="20" t="str"/>
      <c r="G214" s="20" t="str"/>
      <c r="H214" s="20" t="str"/>
      <c r="I214" s="20" t="str"/>
      <c r="J214" s="20" t="str"/>
      <c r="K214" s="20" t="str"/>
      <c r="L214" s="20" t="inlineStr">
        <is>
          <t>待确认</t>
        </is>
      </c>
      <c r="M214" s="20" t="str"/>
      <c r="N214" s="20" t="inlineStr">
        <is>
          <t>PENDING</t>
        </is>
      </c>
      <c r="O214" s="20" t="inlineStr">
        <is>
          <t>待确认</t>
        </is>
      </c>
      <c r="P214" s="20" t="str"/>
    </row>
    <row r="215">
      <c r="A215" s="20" t="n">
        <v>212</v>
      </c>
      <c r="B215" s="20" t="str"/>
      <c r="C215" s="20" t="str"/>
      <c r="D215" s="20" t="str"/>
      <c r="E215" s="20" t="str"/>
      <c r="F215" s="20" t="str"/>
      <c r="G215" s="20" t="str"/>
      <c r="H215" s="20" t="str"/>
      <c r="I215" s="20" t="str"/>
      <c r="J215" s="20" t="str"/>
      <c r="K215" s="20" t="str"/>
      <c r="L215" s="20" t="inlineStr">
        <is>
          <t>待确认</t>
        </is>
      </c>
      <c r="M215" s="20" t="str"/>
      <c r="N215" s="20" t="inlineStr">
        <is>
          <t>PENDING</t>
        </is>
      </c>
      <c r="O215" s="20" t="inlineStr">
        <is>
          <t>待确认</t>
        </is>
      </c>
      <c r="P215" s="20" t="str"/>
    </row>
    <row r="216">
      <c r="A216" s="20" t="n">
        <v>213</v>
      </c>
      <c r="B216" s="20" t="str"/>
      <c r="C216" s="20" t="str"/>
      <c r="D216" s="20" t="str"/>
      <c r="E216" s="20" t="str"/>
      <c r="F216" s="20" t="str"/>
      <c r="G216" s="20" t="str"/>
      <c r="H216" s="20" t="str"/>
      <c r="I216" s="20" t="str"/>
      <c r="J216" s="20" t="str"/>
      <c r="K216" s="20" t="str"/>
      <c r="L216" s="20" t="inlineStr">
        <is>
          <t>待确认</t>
        </is>
      </c>
      <c r="M216" s="20" t="str"/>
      <c r="N216" s="20" t="inlineStr">
        <is>
          <t>PENDING</t>
        </is>
      </c>
      <c r="O216" s="20" t="inlineStr">
        <is>
          <t>待确认</t>
        </is>
      </c>
      <c r="P216" s="20" t="str"/>
    </row>
    <row r="217">
      <c r="A217" s="20" t="n">
        <v>214</v>
      </c>
      <c r="B217" s="20" t="str"/>
      <c r="C217" s="20" t="str"/>
      <c r="D217" s="20" t="str"/>
      <c r="E217" s="20" t="str"/>
      <c r="F217" s="20" t="str"/>
      <c r="G217" s="20" t="str"/>
      <c r="H217" s="20" t="str"/>
      <c r="I217" s="20" t="str"/>
      <c r="J217" s="20" t="str"/>
      <c r="K217" s="20" t="str"/>
      <c r="L217" s="20" t="inlineStr">
        <is>
          <t>待确认</t>
        </is>
      </c>
      <c r="M217" s="20" t="str"/>
      <c r="N217" s="20" t="inlineStr">
        <is>
          <t>PENDING</t>
        </is>
      </c>
      <c r="O217" s="20" t="inlineStr">
        <is>
          <t>待确认</t>
        </is>
      </c>
      <c r="P217" s="20" t="str"/>
    </row>
    <row r="218">
      <c r="A218" s="20" t="n">
        <v>215</v>
      </c>
      <c r="B218" s="20" t="str"/>
      <c r="C218" s="20" t="str"/>
      <c r="D218" s="20" t="str"/>
      <c r="E218" s="20" t="str"/>
      <c r="F218" s="20" t="str"/>
      <c r="G218" s="20" t="str"/>
      <c r="H218" s="20" t="str"/>
      <c r="I218" s="20" t="str"/>
      <c r="J218" s="20" t="str"/>
      <c r="K218" s="20" t="str"/>
      <c r="L218" s="20" t="inlineStr">
        <is>
          <t>待确认</t>
        </is>
      </c>
      <c r="M218" s="20" t="str"/>
      <c r="N218" s="20" t="inlineStr">
        <is>
          <t>PENDING</t>
        </is>
      </c>
      <c r="O218" s="20" t="inlineStr">
        <is>
          <t>待确认</t>
        </is>
      </c>
      <c r="P218" s="20" t="str"/>
    </row>
    <row r="219">
      <c r="A219" s="20" t="n">
        <v>216</v>
      </c>
      <c r="B219" s="20" t="str"/>
      <c r="C219" s="20" t="str"/>
      <c r="D219" s="20" t="str"/>
      <c r="E219" s="20" t="str"/>
      <c r="F219" s="20" t="str"/>
      <c r="G219" s="20" t="str"/>
      <c r="H219" s="20" t="str"/>
      <c r="I219" s="20" t="str"/>
      <c r="J219" s="20" t="str"/>
      <c r="K219" s="20" t="str"/>
      <c r="L219" s="20" t="inlineStr">
        <is>
          <t>待确认</t>
        </is>
      </c>
      <c r="M219" s="20" t="str"/>
      <c r="N219" s="20" t="inlineStr">
        <is>
          <t>PENDING</t>
        </is>
      </c>
      <c r="O219" s="20" t="inlineStr">
        <is>
          <t>待确认</t>
        </is>
      </c>
      <c r="P219" s="20" t="str"/>
    </row>
    <row r="220">
      <c r="A220" s="20" t="n">
        <v>217</v>
      </c>
      <c r="B220" s="20" t="str"/>
      <c r="C220" s="20" t="str"/>
      <c r="D220" s="20" t="str"/>
      <c r="E220" s="20" t="str"/>
      <c r="F220" s="20" t="str"/>
      <c r="G220" s="20" t="str"/>
      <c r="H220" s="20" t="str"/>
      <c r="I220" s="20" t="str"/>
      <c r="J220" s="20" t="str"/>
      <c r="K220" s="20" t="str"/>
      <c r="L220" s="20" t="inlineStr">
        <is>
          <t>待确认</t>
        </is>
      </c>
      <c r="M220" s="20" t="str"/>
      <c r="N220" s="20" t="inlineStr">
        <is>
          <t>PENDING</t>
        </is>
      </c>
      <c r="O220" s="20" t="inlineStr">
        <is>
          <t>待确认</t>
        </is>
      </c>
      <c r="P220" s="20" t="str"/>
    </row>
    <row r="221">
      <c r="A221" s="20" t="n">
        <v>218</v>
      </c>
      <c r="B221" s="20" t="str"/>
      <c r="C221" s="20" t="str"/>
      <c r="D221" s="20" t="str"/>
      <c r="E221" s="20" t="str"/>
      <c r="F221" s="20" t="str"/>
      <c r="G221" s="20" t="str"/>
      <c r="H221" s="20" t="str"/>
      <c r="I221" s="20" t="str"/>
      <c r="J221" s="20" t="str"/>
      <c r="K221" s="20" t="str"/>
      <c r="L221" s="20" t="inlineStr">
        <is>
          <t>待确认</t>
        </is>
      </c>
      <c r="M221" s="20" t="str"/>
      <c r="N221" s="20" t="inlineStr">
        <is>
          <t>PENDING</t>
        </is>
      </c>
      <c r="O221" s="20" t="inlineStr">
        <is>
          <t>待确认</t>
        </is>
      </c>
      <c r="P221" s="20" t="str"/>
    </row>
    <row r="222">
      <c r="A222" s="20" t="n">
        <v>219</v>
      </c>
      <c r="B222" s="20" t="str"/>
      <c r="C222" s="20" t="str"/>
      <c r="D222" s="20" t="str"/>
      <c r="E222" s="20" t="str"/>
      <c r="F222" s="20" t="str"/>
      <c r="G222" s="20" t="str"/>
      <c r="H222" s="20" t="str"/>
      <c r="I222" s="20" t="str"/>
      <c r="J222" s="20" t="str"/>
      <c r="K222" s="20" t="str"/>
      <c r="L222" s="20" t="inlineStr">
        <is>
          <t>待确认</t>
        </is>
      </c>
      <c r="M222" s="20" t="str"/>
      <c r="N222" s="20" t="inlineStr">
        <is>
          <t>PENDING</t>
        </is>
      </c>
      <c r="O222" s="20" t="inlineStr">
        <is>
          <t>待确认</t>
        </is>
      </c>
      <c r="P222" s="20" t="str"/>
    </row>
    <row r="223">
      <c r="A223" s="20" t="n">
        <v>220</v>
      </c>
      <c r="B223" s="20" t="str"/>
      <c r="C223" s="20" t="str"/>
      <c r="D223" s="20" t="str"/>
      <c r="E223" s="20" t="str"/>
      <c r="F223" s="20" t="str"/>
      <c r="G223" s="20" t="str"/>
      <c r="H223" s="20" t="str"/>
      <c r="I223" s="20" t="str"/>
      <c r="J223" s="20" t="str"/>
      <c r="K223" s="20" t="str"/>
      <c r="L223" s="20" t="inlineStr">
        <is>
          <t>待确认</t>
        </is>
      </c>
      <c r="M223" s="20" t="str"/>
      <c r="N223" s="20" t="inlineStr">
        <is>
          <t>PENDING</t>
        </is>
      </c>
      <c r="O223" s="20" t="inlineStr">
        <is>
          <t>待确认</t>
        </is>
      </c>
      <c r="P223" s="20" t="str"/>
    </row>
    <row r="224">
      <c r="A224" s="20" t="n">
        <v>221</v>
      </c>
      <c r="B224" s="20" t="str"/>
      <c r="C224" s="20" t="str"/>
      <c r="D224" s="20" t="str"/>
      <c r="E224" s="20" t="str"/>
      <c r="F224" s="20" t="str"/>
      <c r="G224" s="20" t="str"/>
      <c r="H224" s="20" t="str"/>
      <c r="I224" s="20" t="str"/>
      <c r="J224" s="20" t="str"/>
      <c r="K224" s="20" t="str"/>
      <c r="L224" s="20" t="inlineStr">
        <is>
          <t>待确认</t>
        </is>
      </c>
      <c r="M224" s="20" t="str"/>
      <c r="N224" s="20" t="inlineStr">
        <is>
          <t>PENDING</t>
        </is>
      </c>
      <c r="O224" s="20" t="inlineStr">
        <is>
          <t>待确认</t>
        </is>
      </c>
      <c r="P224" s="20" t="str"/>
    </row>
    <row r="225">
      <c r="A225" s="20" t="n">
        <v>222</v>
      </c>
      <c r="B225" s="20" t="str"/>
      <c r="C225" s="20" t="str"/>
      <c r="D225" s="20" t="str"/>
      <c r="E225" s="20" t="str"/>
      <c r="F225" s="20" t="str"/>
      <c r="G225" s="20" t="str"/>
      <c r="H225" s="20" t="str"/>
      <c r="I225" s="20" t="str"/>
      <c r="J225" s="20" t="str"/>
      <c r="K225" s="20" t="str"/>
      <c r="L225" s="20" t="inlineStr">
        <is>
          <t>待确认</t>
        </is>
      </c>
      <c r="M225" s="20" t="str"/>
      <c r="N225" s="20" t="inlineStr">
        <is>
          <t>PENDING</t>
        </is>
      </c>
      <c r="O225" s="20" t="inlineStr">
        <is>
          <t>待确认</t>
        </is>
      </c>
      <c r="P225" s="20" t="str"/>
    </row>
    <row r="226">
      <c r="A226" s="20" t="n">
        <v>223</v>
      </c>
      <c r="B226" s="20" t="str"/>
      <c r="C226" s="20" t="str"/>
      <c r="D226" s="20" t="str"/>
      <c r="E226" s="20" t="str"/>
      <c r="F226" s="20" t="str"/>
      <c r="G226" s="20" t="str"/>
      <c r="H226" s="20" t="str"/>
      <c r="I226" s="20" t="str"/>
      <c r="J226" s="20" t="str"/>
      <c r="K226" s="20" t="str"/>
      <c r="L226" s="20" t="inlineStr">
        <is>
          <t>待确认</t>
        </is>
      </c>
      <c r="M226" s="20" t="str"/>
      <c r="N226" s="20" t="inlineStr">
        <is>
          <t>PENDING</t>
        </is>
      </c>
      <c r="O226" s="20" t="inlineStr">
        <is>
          <t>待确认</t>
        </is>
      </c>
      <c r="P226" s="20" t="str"/>
    </row>
    <row r="227">
      <c r="A227" s="20" t="n">
        <v>224</v>
      </c>
      <c r="B227" s="20" t="str"/>
      <c r="C227" s="20" t="str"/>
      <c r="D227" s="20" t="str"/>
      <c r="E227" s="20" t="str"/>
      <c r="F227" s="20" t="str"/>
      <c r="G227" s="20" t="str"/>
      <c r="H227" s="20" t="str"/>
      <c r="I227" s="20" t="str"/>
      <c r="J227" s="20" t="str"/>
      <c r="K227" s="20" t="str"/>
      <c r="L227" s="20" t="inlineStr">
        <is>
          <t>待确认</t>
        </is>
      </c>
      <c r="M227" s="20" t="str"/>
      <c r="N227" s="20" t="inlineStr">
        <is>
          <t>PENDING</t>
        </is>
      </c>
      <c r="O227" s="20" t="inlineStr">
        <is>
          <t>待确认</t>
        </is>
      </c>
      <c r="P227" s="20" t="str"/>
    </row>
    <row r="228">
      <c r="A228" s="20" t="n">
        <v>225</v>
      </c>
      <c r="B228" s="20" t="str"/>
      <c r="C228" s="20" t="str"/>
      <c r="D228" s="20" t="str"/>
      <c r="E228" s="20" t="str"/>
      <c r="F228" s="20" t="str"/>
      <c r="G228" s="20" t="str"/>
      <c r="H228" s="20" t="str"/>
      <c r="I228" s="20" t="str"/>
      <c r="J228" s="20" t="str"/>
      <c r="K228" s="20" t="str"/>
      <c r="L228" s="20" t="inlineStr">
        <is>
          <t>待确认</t>
        </is>
      </c>
      <c r="M228" s="20" t="str"/>
      <c r="N228" s="20" t="inlineStr">
        <is>
          <t>PENDING</t>
        </is>
      </c>
      <c r="O228" s="20" t="inlineStr">
        <is>
          <t>待确认</t>
        </is>
      </c>
      <c r="P228" s="20" t="str"/>
    </row>
    <row r="229">
      <c r="A229" s="20" t="n">
        <v>226</v>
      </c>
      <c r="B229" s="20" t="str"/>
      <c r="C229" s="20" t="str"/>
      <c r="D229" s="20" t="str"/>
      <c r="E229" s="20" t="str"/>
      <c r="F229" s="20" t="str"/>
      <c r="G229" s="20" t="str"/>
      <c r="H229" s="20" t="str"/>
      <c r="I229" s="20" t="str"/>
      <c r="J229" s="20" t="str"/>
      <c r="K229" s="20" t="str"/>
      <c r="L229" s="20" t="inlineStr">
        <is>
          <t>待确认</t>
        </is>
      </c>
      <c r="M229" s="20" t="str"/>
      <c r="N229" s="20" t="inlineStr">
        <is>
          <t>PENDING</t>
        </is>
      </c>
      <c r="O229" s="20" t="inlineStr">
        <is>
          <t>待确认</t>
        </is>
      </c>
      <c r="P229" s="20" t="str"/>
    </row>
    <row r="230">
      <c r="A230" s="20" t="n">
        <v>227</v>
      </c>
      <c r="B230" s="20" t="str"/>
      <c r="C230" s="20" t="str"/>
      <c r="D230" s="20" t="str"/>
      <c r="E230" s="20" t="str"/>
      <c r="F230" s="20" t="str"/>
      <c r="G230" s="20" t="str"/>
      <c r="H230" s="20" t="str"/>
      <c r="I230" s="20" t="str"/>
      <c r="J230" s="20" t="str"/>
      <c r="K230" s="20" t="str"/>
      <c r="L230" s="20" t="inlineStr">
        <is>
          <t>待确认</t>
        </is>
      </c>
      <c r="M230" s="20" t="str"/>
      <c r="N230" s="20" t="inlineStr">
        <is>
          <t>PENDING</t>
        </is>
      </c>
      <c r="O230" s="20" t="inlineStr">
        <is>
          <t>待确认</t>
        </is>
      </c>
      <c r="P230" s="20" t="str"/>
    </row>
    <row r="231">
      <c r="A231" s="20" t="n">
        <v>228</v>
      </c>
      <c r="B231" s="20" t="str"/>
      <c r="C231" s="20" t="str"/>
      <c r="D231" s="20" t="str"/>
      <c r="E231" s="20" t="str"/>
      <c r="F231" s="20" t="str"/>
      <c r="G231" s="20" t="str"/>
      <c r="H231" s="20" t="str"/>
      <c r="I231" s="20" t="str"/>
      <c r="J231" s="20" t="str"/>
      <c r="K231" s="20" t="str"/>
      <c r="L231" s="20" t="inlineStr">
        <is>
          <t>待确认</t>
        </is>
      </c>
      <c r="M231" s="20" t="str"/>
      <c r="N231" s="20" t="inlineStr">
        <is>
          <t>PENDING</t>
        </is>
      </c>
      <c r="O231" s="20" t="inlineStr">
        <is>
          <t>待确认</t>
        </is>
      </c>
      <c r="P231" s="20" t="str"/>
    </row>
    <row r="232">
      <c r="A232" s="20" t="n">
        <v>229</v>
      </c>
      <c r="B232" s="20" t="str"/>
      <c r="C232" s="20" t="str"/>
      <c r="D232" s="20" t="str"/>
      <c r="E232" s="20" t="str"/>
      <c r="F232" s="20" t="str"/>
      <c r="G232" s="20" t="str"/>
      <c r="H232" s="20" t="str"/>
      <c r="I232" s="20" t="str"/>
      <c r="J232" s="20" t="str"/>
      <c r="K232" s="20" t="str"/>
      <c r="L232" s="20" t="inlineStr">
        <is>
          <t>待确认</t>
        </is>
      </c>
      <c r="M232" s="20" t="str"/>
      <c r="N232" s="20" t="inlineStr">
        <is>
          <t>PENDING</t>
        </is>
      </c>
      <c r="O232" s="20" t="inlineStr">
        <is>
          <t>待确认</t>
        </is>
      </c>
      <c r="P232" s="20" t="str"/>
    </row>
    <row r="233">
      <c r="A233" s="20" t="n">
        <v>230</v>
      </c>
      <c r="B233" s="20" t="str"/>
      <c r="C233" s="20" t="str"/>
      <c r="D233" s="20" t="str"/>
      <c r="E233" s="20" t="str"/>
      <c r="F233" s="20" t="str"/>
      <c r="G233" s="20" t="str"/>
      <c r="H233" s="20" t="str"/>
      <c r="I233" s="20" t="str"/>
      <c r="J233" s="20" t="str"/>
      <c r="K233" s="20" t="str"/>
      <c r="L233" s="20" t="inlineStr">
        <is>
          <t>待确认</t>
        </is>
      </c>
      <c r="M233" s="20" t="str"/>
      <c r="N233" s="20" t="inlineStr">
        <is>
          <t>PENDING</t>
        </is>
      </c>
      <c r="O233" s="20" t="inlineStr">
        <is>
          <t>待确认</t>
        </is>
      </c>
      <c r="P233" s="20" t="str"/>
    </row>
    <row r="234">
      <c r="A234" s="20" t="n">
        <v>231</v>
      </c>
      <c r="B234" s="20" t="str"/>
      <c r="C234" s="20" t="str"/>
      <c r="D234" s="20" t="str"/>
      <c r="E234" s="20" t="str"/>
      <c r="F234" s="20" t="str"/>
      <c r="G234" s="20" t="str"/>
      <c r="H234" s="20" t="str"/>
      <c r="I234" s="20" t="str"/>
      <c r="J234" s="20" t="str"/>
      <c r="K234" s="20" t="str"/>
      <c r="L234" s="20" t="inlineStr">
        <is>
          <t>待确认</t>
        </is>
      </c>
      <c r="M234" s="20" t="str"/>
      <c r="N234" s="20" t="inlineStr">
        <is>
          <t>PENDING</t>
        </is>
      </c>
      <c r="O234" s="20" t="inlineStr">
        <is>
          <t>待确认</t>
        </is>
      </c>
      <c r="P234" s="20" t="str"/>
    </row>
    <row r="235">
      <c r="A235" s="20" t="n">
        <v>232</v>
      </c>
      <c r="B235" s="20" t="str"/>
      <c r="C235" s="20" t="str"/>
      <c r="D235" s="20" t="str"/>
      <c r="E235" s="20" t="str"/>
      <c r="F235" s="20" t="str"/>
      <c r="G235" s="20" t="str"/>
      <c r="H235" s="20" t="str"/>
      <c r="I235" s="20" t="str"/>
      <c r="J235" s="20" t="str"/>
      <c r="K235" s="20" t="str"/>
      <c r="L235" s="20" t="inlineStr">
        <is>
          <t>待确认</t>
        </is>
      </c>
      <c r="M235" s="20" t="str"/>
      <c r="N235" s="20" t="inlineStr">
        <is>
          <t>PENDING</t>
        </is>
      </c>
      <c r="O235" s="20" t="inlineStr">
        <is>
          <t>待确认</t>
        </is>
      </c>
      <c r="P235" s="20" t="str"/>
    </row>
    <row r="236">
      <c r="A236" s="20" t="n">
        <v>233</v>
      </c>
      <c r="B236" s="20" t="str"/>
      <c r="C236" s="20" t="str"/>
      <c r="D236" s="20" t="str"/>
      <c r="E236" s="20" t="str"/>
      <c r="F236" s="20" t="str"/>
      <c r="G236" s="20" t="str"/>
      <c r="H236" s="20" t="str"/>
      <c r="I236" s="20" t="str"/>
      <c r="J236" s="20" t="str"/>
      <c r="K236" s="20" t="str"/>
      <c r="L236" s="20" t="inlineStr">
        <is>
          <t>待确认</t>
        </is>
      </c>
      <c r="M236" s="20" t="str"/>
      <c r="N236" s="20" t="inlineStr">
        <is>
          <t>PENDING</t>
        </is>
      </c>
      <c r="O236" s="20" t="inlineStr">
        <is>
          <t>待确认</t>
        </is>
      </c>
      <c r="P236" s="20" t="str"/>
    </row>
    <row r="237">
      <c r="A237" s="20" t="n">
        <v>234</v>
      </c>
      <c r="B237" s="20" t="str"/>
      <c r="C237" s="20" t="str"/>
      <c r="D237" s="20" t="str"/>
      <c r="E237" s="20" t="str"/>
      <c r="F237" s="20" t="str"/>
      <c r="G237" s="20" t="str"/>
      <c r="H237" s="20" t="str"/>
      <c r="I237" s="20" t="str"/>
      <c r="J237" s="20" t="str"/>
      <c r="K237" s="20" t="str"/>
      <c r="L237" s="20" t="inlineStr">
        <is>
          <t>待确认</t>
        </is>
      </c>
      <c r="M237" s="20" t="str"/>
      <c r="N237" s="20" t="inlineStr">
        <is>
          <t>PENDING</t>
        </is>
      </c>
      <c r="O237" s="20" t="inlineStr">
        <is>
          <t>待确认</t>
        </is>
      </c>
      <c r="P237" s="20" t="str"/>
    </row>
    <row r="238">
      <c r="A238" s="20" t="n">
        <v>235</v>
      </c>
      <c r="B238" s="20" t="str"/>
      <c r="C238" s="20" t="str"/>
      <c r="D238" s="20" t="str"/>
      <c r="E238" s="20" t="str"/>
      <c r="F238" s="20" t="str"/>
      <c r="G238" s="20" t="str"/>
      <c r="H238" s="20" t="str"/>
      <c r="I238" s="20" t="str"/>
      <c r="J238" s="20" t="str"/>
      <c r="K238" s="20" t="str"/>
      <c r="L238" s="20" t="inlineStr">
        <is>
          <t>待确认</t>
        </is>
      </c>
      <c r="M238" s="20" t="str"/>
      <c r="N238" s="20" t="inlineStr">
        <is>
          <t>PENDING</t>
        </is>
      </c>
      <c r="O238" s="20" t="inlineStr">
        <is>
          <t>待确认</t>
        </is>
      </c>
      <c r="P238" s="20" t="str"/>
    </row>
    <row r="239">
      <c r="A239" s="20" t="n">
        <v>236</v>
      </c>
      <c r="B239" s="20" t="str"/>
      <c r="C239" s="20" t="str"/>
      <c r="D239" s="20" t="str"/>
      <c r="E239" s="20" t="str"/>
      <c r="F239" s="20" t="str"/>
      <c r="G239" s="20" t="str"/>
      <c r="H239" s="20" t="str"/>
      <c r="I239" s="20" t="str"/>
      <c r="J239" s="20" t="str"/>
      <c r="K239" s="20" t="str"/>
      <c r="L239" s="20" t="inlineStr">
        <is>
          <t>待确认</t>
        </is>
      </c>
      <c r="M239" s="20" t="str"/>
      <c r="N239" s="20" t="inlineStr">
        <is>
          <t>PENDING</t>
        </is>
      </c>
      <c r="O239" s="20" t="inlineStr">
        <is>
          <t>待确认</t>
        </is>
      </c>
      <c r="P239" s="20" t="str"/>
    </row>
    <row r="240">
      <c r="A240" s="20" t="n">
        <v>237</v>
      </c>
      <c r="B240" s="20" t="str"/>
      <c r="C240" s="20" t="str"/>
      <c r="D240" s="20" t="str"/>
      <c r="E240" s="20" t="str"/>
      <c r="F240" s="20" t="str"/>
      <c r="G240" s="20" t="str"/>
      <c r="H240" s="20" t="str"/>
      <c r="I240" s="20" t="str"/>
      <c r="J240" s="20" t="str"/>
      <c r="K240" s="20" t="str"/>
      <c r="L240" s="20" t="inlineStr">
        <is>
          <t>待确认</t>
        </is>
      </c>
      <c r="M240" s="20" t="str"/>
      <c r="N240" s="20" t="inlineStr">
        <is>
          <t>PENDING</t>
        </is>
      </c>
      <c r="O240" s="20" t="inlineStr">
        <is>
          <t>待确认</t>
        </is>
      </c>
      <c r="P240" s="20" t="str"/>
    </row>
    <row r="241">
      <c r="A241" s="20" t="n">
        <v>238</v>
      </c>
      <c r="B241" s="20" t="str"/>
      <c r="C241" s="20" t="str"/>
      <c r="D241" s="20" t="str"/>
      <c r="E241" s="20" t="str"/>
      <c r="F241" s="20" t="str"/>
      <c r="G241" s="20" t="str"/>
      <c r="H241" s="20" t="str"/>
      <c r="I241" s="20" t="str"/>
      <c r="J241" s="20" t="str"/>
      <c r="K241" s="20" t="str"/>
      <c r="L241" s="20" t="inlineStr">
        <is>
          <t>待确认</t>
        </is>
      </c>
      <c r="M241" s="20" t="str"/>
      <c r="N241" s="20" t="inlineStr">
        <is>
          <t>PENDING</t>
        </is>
      </c>
      <c r="O241" s="20" t="inlineStr">
        <is>
          <t>待确认</t>
        </is>
      </c>
      <c r="P241" s="20" t="str"/>
    </row>
    <row r="242">
      <c r="A242" s="20" t="n">
        <v>239</v>
      </c>
      <c r="B242" s="20" t="str"/>
      <c r="C242" s="20" t="str"/>
      <c r="D242" s="20" t="str"/>
      <c r="E242" s="20" t="str"/>
      <c r="F242" s="20" t="str"/>
      <c r="G242" s="20" t="str"/>
      <c r="H242" s="20" t="str"/>
      <c r="I242" s="20" t="str"/>
      <c r="J242" s="20" t="str"/>
      <c r="K242" s="20" t="str"/>
      <c r="L242" s="20" t="inlineStr">
        <is>
          <t>待确认</t>
        </is>
      </c>
      <c r="M242" s="20" t="str"/>
      <c r="N242" s="20" t="inlineStr">
        <is>
          <t>PENDING</t>
        </is>
      </c>
      <c r="O242" s="20" t="inlineStr">
        <is>
          <t>待确认</t>
        </is>
      </c>
      <c r="P242" s="20" t="str"/>
    </row>
    <row r="243">
      <c r="A243" s="20" t="n">
        <v>240</v>
      </c>
      <c r="B243" s="20" t="str"/>
      <c r="C243" s="20" t="str"/>
      <c r="D243" s="20" t="str"/>
      <c r="E243" s="20" t="str"/>
      <c r="F243" s="20" t="str"/>
      <c r="G243" s="20" t="str"/>
      <c r="H243" s="20" t="str"/>
      <c r="I243" s="20" t="str"/>
      <c r="J243" s="20" t="str"/>
      <c r="K243" s="20" t="str"/>
      <c r="L243" s="20" t="inlineStr">
        <is>
          <t>待确认</t>
        </is>
      </c>
      <c r="M243" s="20" t="str"/>
      <c r="N243" s="20" t="inlineStr">
        <is>
          <t>PENDING</t>
        </is>
      </c>
      <c r="O243" s="20" t="inlineStr">
        <is>
          <t>待确认</t>
        </is>
      </c>
      <c r="P243" s="20" t="str"/>
    </row>
    <row r="244">
      <c r="A244" s="20" t="n">
        <v>241</v>
      </c>
      <c r="B244" s="20" t="str"/>
      <c r="C244" s="20" t="str"/>
      <c r="D244" s="20" t="str"/>
      <c r="E244" s="20" t="str"/>
      <c r="F244" s="20" t="str"/>
      <c r="G244" s="20" t="str"/>
      <c r="H244" s="20" t="str"/>
      <c r="I244" s="20" t="str"/>
      <c r="J244" s="20" t="str"/>
      <c r="K244" s="20" t="str"/>
      <c r="L244" s="20" t="inlineStr">
        <is>
          <t>待确认</t>
        </is>
      </c>
      <c r="M244" s="20" t="str"/>
      <c r="N244" s="20" t="inlineStr">
        <is>
          <t>PENDING</t>
        </is>
      </c>
      <c r="O244" s="20" t="inlineStr">
        <is>
          <t>待确认</t>
        </is>
      </c>
      <c r="P244" s="20" t="str"/>
    </row>
    <row r="245">
      <c r="A245" s="20" t="n">
        <v>242</v>
      </c>
      <c r="B245" s="20" t="str"/>
      <c r="C245" s="20" t="str"/>
      <c r="D245" s="20" t="str"/>
      <c r="E245" s="20" t="str"/>
      <c r="F245" s="20" t="str"/>
      <c r="G245" s="20" t="str"/>
      <c r="H245" s="20" t="str"/>
      <c r="I245" s="20" t="str"/>
      <c r="J245" s="20" t="str"/>
      <c r="K245" s="20" t="str"/>
      <c r="L245" s="20" t="inlineStr">
        <is>
          <t>待确认</t>
        </is>
      </c>
      <c r="M245" s="20" t="str"/>
      <c r="N245" s="20" t="inlineStr">
        <is>
          <t>PENDING</t>
        </is>
      </c>
      <c r="O245" s="20" t="inlineStr">
        <is>
          <t>待确认</t>
        </is>
      </c>
      <c r="P245" s="20" t="str"/>
    </row>
    <row r="246">
      <c r="A246" s="20" t="n">
        <v>243</v>
      </c>
      <c r="B246" s="20" t="str"/>
      <c r="C246" s="20" t="str"/>
      <c r="D246" s="20" t="str"/>
      <c r="E246" s="20" t="str"/>
      <c r="F246" s="20" t="str"/>
      <c r="G246" s="20" t="str"/>
      <c r="H246" s="20" t="str"/>
      <c r="I246" s="20" t="str"/>
      <c r="J246" s="20" t="str"/>
      <c r="K246" s="20" t="str"/>
      <c r="L246" s="20" t="inlineStr">
        <is>
          <t>待确认</t>
        </is>
      </c>
      <c r="M246" s="20" t="str"/>
      <c r="N246" s="20" t="inlineStr">
        <is>
          <t>PENDING</t>
        </is>
      </c>
      <c r="O246" s="20" t="inlineStr">
        <is>
          <t>待确认</t>
        </is>
      </c>
      <c r="P246" s="20" t="str"/>
    </row>
    <row r="247">
      <c r="A247" s="20" t="n">
        <v>244</v>
      </c>
      <c r="B247" s="20" t="str"/>
      <c r="C247" s="20" t="str"/>
      <c r="D247" s="20" t="str"/>
      <c r="E247" s="20" t="str"/>
      <c r="F247" s="20" t="str"/>
      <c r="G247" s="20" t="str"/>
      <c r="H247" s="20" t="str"/>
      <c r="I247" s="20" t="str"/>
      <c r="J247" s="20" t="str"/>
      <c r="K247" s="20" t="str"/>
      <c r="L247" s="20" t="inlineStr">
        <is>
          <t>待确认</t>
        </is>
      </c>
      <c r="M247" s="20" t="str"/>
      <c r="N247" s="20" t="inlineStr">
        <is>
          <t>PENDING</t>
        </is>
      </c>
      <c r="O247" s="20" t="inlineStr">
        <is>
          <t>待确认</t>
        </is>
      </c>
      <c r="P247" s="20" t="str"/>
    </row>
    <row r="248">
      <c r="A248" s="20" t="n">
        <v>245</v>
      </c>
      <c r="B248" s="20" t="str"/>
      <c r="C248" s="20" t="str"/>
      <c r="D248" s="20" t="str"/>
      <c r="E248" s="20" t="str"/>
      <c r="F248" s="20" t="str"/>
      <c r="G248" s="20" t="str"/>
      <c r="H248" s="20" t="str"/>
      <c r="I248" s="20" t="str"/>
      <c r="J248" s="20" t="str"/>
      <c r="K248" s="20" t="str"/>
      <c r="L248" s="20" t="inlineStr">
        <is>
          <t>待确认</t>
        </is>
      </c>
      <c r="M248" s="20" t="str"/>
      <c r="N248" s="20" t="inlineStr">
        <is>
          <t>PENDING</t>
        </is>
      </c>
      <c r="O248" s="20" t="inlineStr">
        <is>
          <t>待确认</t>
        </is>
      </c>
      <c r="P248" s="20" t="str"/>
    </row>
    <row r="249">
      <c r="A249" s="20" t="n">
        <v>246</v>
      </c>
      <c r="B249" s="20" t="str"/>
      <c r="C249" s="20" t="str"/>
      <c r="D249" s="20" t="str"/>
      <c r="E249" s="20" t="str"/>
      <c r="F249" s="20" t="str"/>
      <c r="G249" s="20" t="str"/>
      <c r="H249" s="20" t="str"/>
      <c r="I249" s="20" t="str"/>
      <c r="J249" s="20" t="str"/>
      <c r="K249" s="20" t="str"/>
      <c r="L249" s="20" t="inlineStr">
        <is>
          <t>待确认</t>
        </is>
      </c>
      <c r="M249" s="20" t="str"/>
      <c r="N249" s="20" t="inlineStr">
        <is>
          <t>PENDING</t>
        </is>
      </c>
      <c r="O249" s="20" t="inlineStr">
        <is>
          <t>待确认</t>
        </is>
      </c>
      <c r="P249" s="20" t="str"/>
    </row>
    <row r="250">
      <c r="A250" s="20" t="n">
        <v>247</v>
      </c>
      <c r="B250" s="20" t="str"/>
      <c r="C250" s="20" t="str"/>
      <c r="D250" s="20" t="str"/>
      <c r="E250" s="20" t="str"/>
      <c r="F250" s="20" t="str"/>
      <c r="G250" s="20" t="str"/>
      <c r="H250" s="20" t="str"/>
      <c r="I250" s="20" t="str"/>
      <c r="J250" s="20" t="str"/>
      <c r="K250" s="20" t="str"/>
      <c r="L250" s="20" t="inlineStr">
        <is>
          <t>待确认</t>
        </is>
      </c>
      <c r="M250" s="20" t="str"/>
      <c r="N250" s="20" t="inlineStr">
        <is>
          <t>PENDING</t>
        </is>
      </c>
      <c r="O250" s="20" t="inlineStr">
        <is>
          <t>待确认</t>
        </is>
      </c>
      <c r="P250" s="20" t="str"/>
    </row>
    <row r="251">
      <c r="A251" s="20" t="n">
        <v>248</v>
      </c>
      <c r="B251" s="20" t="str"/>
      <c r="C251" s="20" t="str"/>
      <c r="D251" s="20" t="str"/>
      <c r="E251" s="20" t="str"/>
      <c r="F251" s="20" t="str"/>
      <c r="G251" s="20" t="str"/>
      <c r="H251" s="20" t="str"/>
      <c r="I251" s="20" t="str"/>
      <c r="J251" s="20" t="str"/>
      <c r="K251" s="20" t="str"/>
      <c r="L251" s="20" t="inlineStr">
        <is>
          <t>待确认</t>
        </is>
      </c>
      <c r="M251" s="20" t="str"/>
      <c r="N251" s="20" t="inlineStr">
        <is>
          <t>PENDING</t>
        </is>
      </c>
      <c r="O251" s="20" t="inlineStr">
        <is>
          <t>待确认</t>
        </is>
      </c>
      <c r="P251" s="20" t="str"/>
    </row>
    <row r="252">
      <c r="A252" s="20" t="n">
        <v>249</v>
      </c>
      <c r="B252" s="20" t="str"/>
      <c r="C252" s="20" t="str"/>
      <c r="D252" s="20" t="str"/>
      <c r="E252" s="20" t="str"/>
      <c r="F252" s="20" t="str"/>
      <c r="G252" s="20" t="str"/>
      <c r="H252" s="20" t="str"/>
      <c r="I252" s="20" t="str"/>
      <c r="J252" s="20" t="str"/>
      <c r="K252" s="20" t="str"/>
      <c r="L252" s="20" t="inlineStr">
        <is>
          <t>待确认</t>
        </is>
      </c>
      <c r="M252" s="20" t="str"/>
      <c r="N252" s="20" t="inlineStr">
        <is>
          <t>PENDING</t>
        </is>
      </c>
      <c r="O252" s="20" t="inlineStr">
        <is>
          <t>待确认</t>
        </is>
      </c>
      <c r="P252" s="20" t="str"/>
    </row>
    <row r="253">
      <c r="A253" s="20" t="n">
        <v>250</v>
      </c>
      <c r="B253" s="20" t="str"/>
      <c r="C253" s="20" t="str"/>
      <c r="D253" s="20" t="str"/>
      <c r="E253" s="20" t="str"/>
      <c r="F253" s="20" t="str"/>
      <c r="G253" s="20" t="str"/>
      <c r="H253" s="20" t="str"/>
      <c r="I253" s="20" t="str"/>
      <c r="J253" s="20" t="str"/>
      <c r="K253" s="20" t="str"/>
      <c r="L253" s="20" t="inlineStr">
        <is>
          <t>待确认</t>
        </is>
      </c>
      <c r="M253" s="20" t="str"/>
      <c r="N253" s="20" t="inlineStr">
        <is>
          <t>PENDING</t>
        </is>
      </c>
      <c r="O253" s="20" t="inlineStr">
        <is>
          <t>待确认</t>
        </is>
      </c>
      <c r="P253" s="20" t="str"/>
    </row>
    <row r="254">
      <c r="A254" s="20" t="n">
        <v>251</v>
      </c>
      <c r="B254" s="20" t="str"/>
      <c r="C254" s="20" t="str"/>
      <c r="D254" s="20" t="str"/>
      <c r="E254" s="20" t="str"/>
      <c r="F254" s="20" t="str"/>
      <c r="G254" s="20" t="str"/>
      <c r="H254" s="20" t="str"/>
      <c r="I254" s="20" t="str"/>
      <c r="J254" s="20" t="str"/>
      <c r="K254" s="20" t="str"/>
      <c r="L254" s="20" t="inlineStr">
        <is>
          <t>待确认</t>
        </is>
      </c>
      <c r="M254" s="20" t="str"/>
      <c r="N254" s="20" t="inlineStr">
        <is>
          <t>PENDING</t>
        </is>
      </c>
      <c r="O254" s="20" t="inlineStr">
        <is>
          <t>待确认</t>
        </is>
      </c>
      <c r="P254" s="20" t="str"/>
    </row>
    <row r="255">
      <c r="A255" s="20" t="n">
        <v>252</v>
      </c>
      <c r="B255" s="20" t="str"/>
      <c r="C255" s="20" t="str"/>
      <c r="D255" s="20" t="str"/>
      <c r="E255" s="20" t="str"/>
      <c r="F255" s="20" t="str"/>
      <c r="G255" s="20" t="str"/>
      <c r="H255" s="20" t="str"/>
      <c r="I255" s="20" t="str"/>
      <c r="J255" s="20" t="str"/>
      <c r="K255" s="20" t="str"/>
      <c r="L255" s="20" t="inlineStr">
        <is>
          <t>待确认</t>
        </is>
      </c>
      <c r="M255" s="20" t="str"/>
      <c r="N255" s="20" t="inlineStr">
        <is>
          <t>PENDING</t>
        </is>
      </c>
      <c r="O255" s="20" t="inlineStr">
        <is>
          <t>待确认</t>
        </is>
      </c>
      <c r="P255" s="20" t="str"/>
    </row>
    <row r="256">
      <c r="A256" s="20" t="n">
        <v>253</v>
      </c>
      <c r="B256" s="20" t="str"/>
      <c r="C256" s="20" t="str"/>
      <c r="D256" s="20" t="str"/>
      <c r="E256" s="20" t="str"/>
      <c r="F256" s="20" t="str"/>
      <c r="G256" s="20" t="str"/>
      <c r="H256" s="20" t="str"/>
      <c r="I256" s="20" t="str"/>
      <c r="J256" s="20" t="str"/>
      <c r="K256" s="20" t="str"/>
      <c r="L256" s="20" t="inlineStr">
        <is>
          <t>待确认</t>
        </is>
      </c>
      <c r="M256" s="20" t="str"/>
      <c r="N256" s="20" t="inlineStr">
        <is>
          <t>PENDING</t>
        </is>
      </c>
      <c r="O256" s="20" t="inlineStr">
        <is>
          <t>待确认</t>
        </is>
      </c>
      <c r="P256" s="20" t="str"/>
    </row>
    <row r="257">
      <c r="A257" s="20" t="n">
        <v>254</v>
      </c>
      <c r="B257" s="20" t="str"/>
      <c r="C257" s="20" t="str"/>
      <c r="D257" s="20" t="str"/>
      <c r="E257" s="20" t="str"/>
      <c r="F257" s="20" t="str"/>
      <c r="G257" s="20" t="str"/>
      <c r="H257" s="20" t="str"/>
      <c r="I257" s="20" t="str"/>
      <c r="J257" s="20" t="str"/>
      <c r="K257" s="20" t="str"/>
      <c r="L257" s="20" t="inlineStr">
        <is>
          <t>待确认</t>
        </is>
      </c>
      <c r="M257" s="20" t="str"/>
      <c r="N257" s="20" t="inlineStr">
        <is>
          <t>PENDING</t>
        </is>
      </c>
      <c r="O257" s="20" t="inlineStr">
        <is>
          <t>待确认</t>
        </is>
      </c>
      <c r="P257" s="20" t="str"/>
    </row>
    <row r="258">
      <c r="A258" s="20" t="n">
        <v>255</v>
      </c>
      <c r="B258" s="20" t="str"/>
      <c r="C258" s="20" t="str"/>
      <c r="D258" s="20" t="str"/>
      <c r="E258" s="20" t="str"/>
      <c r="F258" s="20" t="str"/>
      <c r="G258" s="20" t="str"/>
      <c r="H258" s="20" t="str"/>
      <c r="I258" s="20" t="str"/>
      <c r="J258" s="20" t="str"/>
      <c r="K258" s="20" t="str"/>
      <c r="L258" s="20" t="inlineStr">
        <is>
          <t>待确认</t>
        </is>
      </c>
      <c r="M258" s="20" t="str"/>
      <c r="N258" s="20" t="inlineStr">
        <is>
          <t>PENDING</t>
        </is>
      </c>
      <c r="O258" s="20" t="inlineStr">
        <is>
          <t>待确认</t>
        </is>
      </c>
      <c r="P258" s="20" t="str"/>
    </row>
    <row r="259">
      <c r="A259" s="20" t="n">
        <v>256</v>
      </c>
      <c r="B259" s="20" t="str"/>
      <c r="C259" s="20" t="str"/>
      <c r="D259" s="20" t="str"/>
      <c r="E259" s="20" t="str"/>
      <c r="F259" s="20" t="str"/>
      <c r="G259" s="20" t="str"/>
      <c r="H259" s="20" t="str"/>
      <c r="I259" s="20" t="str"/>
      <c r="J259" s="20" t="str"/>
      <c r="K259" s="20" t="str"/>
      <c r="L259" s="20" t="inlineStr">
        <is>
          <t>待确认</t>
        </is>
      </c>
      <c r="M259" s="20" t="str"/>
      <c r="N259" s="20" t="inlineStr">
        <is>
          <t>PENDING</t>
        </is>
      </c>
      <c r="O259" s="20" t="inlineStr">
        <is>
          <t>待确认</t>
        </is>
      </c>
      <c r="P259" s="20" t="str"/>
    </row>
    <row r="260">
      <c r="A260" s="20" t="n">
        <v>257</v>
      </c>
      <c r="B260" s="20" t="str"/>
      <c r="C260" s="20" t="str"/>
      <c r="D260" s="20" t="str"/>
      <c r="E260" s="20" t="str"/>
      <c r="F260" s="20" t="str"/>
      <c r="G260" s="20" t="str"/>
      <c r="H260" s="20" t="str"/>
      <c r="I260" s="20" t="str"/>
      <c r="J260" s="20" t="str"/>
      <c r="K260" s="20" t="str"/>
      <c r="L260" s="20" t="inlineStr">
        <is>
          <t>待确认</t>
        </is>
      </c>
      <c r="M260" s="20" t="str"/>
      <c r="N260" s="20" t="inlineStr">
        <is>
          <t>PENDING</t>
        </is>
      </c>
      <c r="O260" s="20" t="inlineStr">
        <is>
          <t>待确认</t>
        </is>
      </c>
      <c r="P260" s="20" t="str"/>
    </row>
    <row r="261">
      <c r="A261" s="20" t="n">
        <v>258</v>
      </c>
      <c r="B261" s="20" t="str"/>
      <c r="C261" s="20" t="str"/>
      <c r="D261" s="20" t="str"/>
      <c r="E261" s="20" t="str"/>
      <c r="F261" s="20" t="str"/>
      <c r="G261" s="20" t="str"/>
      <c r="H261" s="20" t="str"/>
      <c r="I261" s="20" t="str"/>
      <c r="J261" s="20" t="str"/>
      <c r="K261" s="20" t="str"/>
      <c r="L261" s="20" t="inlineStr">
        <is>
          <t>待确认</t>
        </is>
      </c>
      <c r="M261" s="20" t="str"/>
      <c r="N261" s="20" t="inlineStr">
        <is>
          <t>PENDING</t>
        </is>
      </c>
      <c r="O261" s="20" t="inlineStr">
        <is>
          <t>待确认</t>
        </is>
      </c>
      <c r="P261" s="20" t="str"/>
    </row>
    <row r="262">
      <c r="A262" s="20" t="n">
        <v>259</v>
      </c>
      <c r="B262" s="20" t="str"/>
      <c r="C262" s="20" t="str"/>
      <c r="D262" s="20" t="str"/>
      <c r="E262" s="20" t="str"/>
      <c r="F262" s="20" t="str"/>
      <c r="G262" s="20" t="str"/>
      <c r="H262" s="20" t="str"/>
      <c r="I262" s="20" t="str"/>
      <c r="J262" s="20" t="str"/>
      <c r="K262" s="20" t="str"/>
      <c r="L262" s="20" t="inlineStr">
        <is>
          <t>待确认</t>
        </is>
      </c>
      <c r="M262" s="20" t="str"/>
      <c r="N262" s="20" t="inlineStr">
        <is>
          <t>PENDING</t>
        </is>
      </c>
      <c r="O262" s="20" t="inlineStr">
        <is>
          <t>待确认</t>
        </is>
      </c>
      <c r="P262" s="20" t="str"/>
    </row>
    <row r="263">
      <c r="A263" s="20" t="n">
        <v>260</v>
      </c>
      <c r="B263" s="20" t="str"/>
      <c r="C263" s="20" t="str"/>
      <c r="D263" s="20" t="str"/>
      <c r="E263" s="20" t="str"/>
      <c r="F263" s="20" t="str"/>
      <c r="G263" s="20" t="str"/>
      <c r="H263" s="20" t="str"/>
      <c r="I263" s="20" t="str"/>
      <c r="J263" s="20" t="str"/>
      <c r="K263" s="20" t="str"/>
      <c r="L263" s="20" t="inlineStr">
        <is>
          <t>待确认</t>
        </is>
      </c>
      <c r="M263" s="20" t="str"/>
      <c r="N263" s="20" t="inlineStr">
        <is>
          <t>PENDING</t>
        </is>
      </c>
      <c r="O263" s="20" t="inlineStr">
        <is>
          <t>待确认</t>
        </is>
      </c>
      <c r="P263" s="20" t="str"/>
    </row>
    <row r="264">
      <c r="A264" s="20" t="n">
        <v>261</v>
      </c>
      <c r="B264" s="20" t="str"/>
      <c r="C264" s="20" t="str"/>
      <c r="D264" s="20" t="str"/>
      <c r="E264" s="20" t="str"/>
      <c r="F264" s="20" t="str"/>
      <c r="G264" s="20" t="str"/>
      <c r="H264" s="20" t="str"/>
      <c r="I264" s="20" t="str"/>
      <c r="J264" s="20" t="str"/>
      <c r="K264" s="20" t="str"/>
      <c r="L264" s="20" t="inlineStr">
        <is>
          <t>待确认</t>
        </is>
      </c>
      <c r="M264" s="20" t="str"/>
      <c r="N264" s="20" t="inlineStr">
        <is>
          <t>PENDING</t>
        </is>
      </c>
      <c r="O264" s="20" t="inlineStr">
        <is>
          <t>待确认</t>
        </is>
      </c>
      <c r="P264" s="20" t="str"/>
    </row>
    <row r="265">
      <c r="A265" s="20" t="n">
        <v>262</v>
      </c>
      <c r="B265" s="20" t="str"/>
      <c r="C265" s="20" t="str"/>
      <c r="D265" s="20" t="str"/>
      <c r="E265" s="20" t="str"/>
      <c r="F265" s="20" t="str"/>
      <c r="G265" s="20" t="str"/>
      <c r="H265" s="20" t="str"/>
      <c r="I265" s="20" t="str"/>
      <c r="J265" s="20" t="str"/>
      <c r="K265" s="20" t="str"/>
      <c r="L265" s="20" t="inlineStr">
        <is>
          <t>待确认</t>
        </is>
      </c>
      <c r="M265" s="20" t="str"/>
      <c r="N265" s="20" t="inlineStr">
        <is>
          <t>PENDING</t>
        </is>
      </c>
      <c r="O265" s="20" t="inlineStr">
        <is>
          <t>待确认</t>
        </is>
      </c>
      <c r="P265" s="20" t="str"/>
    </row>
    <row r="266">
      <c r="A266" s="20" t="n">
        <v>263</v>
      </c>
      <c r="B266" s="20" t="str"/>
      <c r="C266" s="20" t="str"/>
      <c r="D266" s="20" t="str"/>
      <c r="E266" s="20" t="str"/>
      <c r="F266" s="20" t="str"/>
      <c r="G266" s="20" t="str"/>
      <c r="H266" s="20" t="str"/>
      <c r="I266" s="20" t="str"/>
      <c r="J266" s="20" t="str"/>
      <c r="K266" s="20" t="str"/>
      <c r="L266" s="20" t="inlineStr">
        <is>
          <t>待确认</t>
        </is>
      </c>
      <c r="M266" s="20" t="str"/>
      <c r="N266" s="20" t="inlineStr">
        <is>
          <t>PENDING</t>
        </is>
      </c>
      <c r="O266" s="20" t="inlineStr">
        <is>
          <t>待确认</t>
        </is>
      </c>
      <c r="P266" s="20" t="str"/>
    </row>
    <row r="267">
      <c r="A267" s="20" t="n">
        <v>264</v>
      </c>
      <c r="B267" s="20" t="str"/>
      <c r="C267" s="20" t="str"/>
      <c r="D267" s="20" t="str"/>
      <c r="E267" s="20" t="str"/>
      <c r="F267" s="20" t="str"/>
      <c r="G267" s="20" t="str"/>
      <c r="H267" s="20" t="str"/>
      <c r="I267" s="20" t="str"/>
      <c r="J267" s="20" t="str"/>
      <c r="K267" s="20" t="str"/>
      <c r="L267" s="20" t="inlineStr">
        <is>
          <t>待确认</t>
        </is>
      </c>
      <c r="M267" s="20" t="str"/>
      <c r="N267" s="20" t="inlineStr">
        <is>
          <t>PENDING</t>
        </is>
      </c>
      <c r="O267" s="20" t="inlineStr">
        <is>
          <t>待确认</t>
        </is>
      </c>
      <c r="P267" s="20" t="str"/>
    </row>
    <row r="268">
      <c r="A268" s="20" t="n">
        <v>265</v>
      </c>
      <c r="B268" s="20" t="str"/>
      <c r="C268" s="20" t="str"/>
      <c r="D268" s="20" t="str"/>
      <c r="E268" s="20" t="str"/>
      <c r="F268" s="20" t="str"/>
      <c r="G268" s="20" t="str"/>
      <c r="H268" s="20" t="str"/>
      <c r="I268" s="20" t="str"/>
      <c r="J268" s="20" t="str"/>
      <c r="K268" s="20" t="str"/>
      <c r="L268" s="20" t="inlineStr">
        <is>
          <t>待确认</t>
        </is>
      </c>
      <c r="M268" s="20" t="str"/>
      <c r="N268" s="20" t="inlineStr">
        <is>
          <t>PENDING</t>
        </is>
      </c>
      <c r="O268" s="20" t="inlineStr">
        <is>
          <t>待确认</t>
        </is>
      </c>
      <c r="P268" s="20" t="str"/>
    </row>
    <row r="269">
      <c r="A269" s="20" t="n">
        <v>266</v>
      </c>
      <c r="B269" s="20" t="str"/>
      <c r="C269" s="20" t="str"/>
      <c r="D269" s="20" t="str"/>
      <c r="E269" s="20" t="str"/>
      <c r="F269" s="20" t="str"/>
      <c r="G269" s="20" t="str"/>
      <c r="H269" s="20" t="str"/>
      <c r="I269" s="20" t="str"/>
      <c r="J269" s="20" t="str"/>
      <c r="K269" s="20" t="str"/>
      <c r="L269" s="20" t="inlineStr">
        <is>
          <t>待确认</t>
        </is>
      </c>
      <c r="M269" s="20" t="str"/>
      <c r="N269" s="20" t="inlineStr">
        <is>
          <t>PENDING</t>
        </is>
      </c>
      <c r="O269" s="20" t="inlineStr">
        <is>
          <t>待确认</t>
        </is>
      </c>
      <c r="P269" s="20" t="str"/>
    </row>
    <row r="270">
      <c r="A270" s="20" t="n">
        <v>267</v>
      </c>
      <c r="B270" s="20" t="str"/>
      <c r="C270" s="20" t="str"/>
      <c r="D270" s="20" t="str"/>
      <c r="E270" s="20" t="str"/>
      <c r="F270" s="20" t="str"/>
      <c r="G270" s="20" t="str"/>
      <c r="H270" s="20" t="str"/>
      <c r="I270" s="20" t="str"/>
      <c r="J270" s="20" t="str"/>
      <c r="K270" s="20" t="str"/>
      <c r="L270" s="20" t="inlineStr">
        <is>
          <t>待确认</t>
        </is>
      </c>
      <c r="M270" s="20" t="str"/>
      <c r="N270" s="20" t="inlineStr">
        <is>
          <t>PENDING</t>
        </is>
      </c>
      <c r="O270" s="20" t="inlineStr">
        <is>
          <t>待确认</t>
        </is>
      </c>
      <c r="P270" s="20" t="str"/>
    </row>
    <row r="271">
      <c r="A271" s="20" t="n">
        <v>268</v>
      </c>
      <c r="B271" s="20" t="str"/>
      <c r="C271" s="20" t="str"/>
      <c r="D271" s="20" t="str"/>
      <c r="E271" s="20" t="str"/>
      <c r="F271" s="20" t="str"/>
      <c r="G271" s="20" t="str"/>
      <c r="H271" s="20" t="str"/>
      <c r="I271" s="20" t="str"/>
      <c r="J271" s="20" t="str"/>
      <c r="K271" s="20" t="str"/>
      <c r="L271" s="20" t="inlineStr">
        <is>
          <t>待确认</t>
        </is>
      </c>
      <c r="M271" s="20" t="str"/>
      <c r="N271" s="20" t="inlineStr">
        <is>
          <t>PENDING</t>
        </is>
      </c>
      <c r="O271" s="20" t="inlineStr">
        <is>
          <t>待确认</t>
        </is>
      </c>
      <c r="P271" s="20" t="str"/>
    </row>
    <row r="272">
      <c r="A272" s="20" t="n">
        <v>269</v>
      </c>
      <c r="B272" s="20" t="str"/>
      <c r="C272" s="20" t="str"/>
      <c r="D272" s="20" t="str"/>
      <c r="E272" s="20" t="str"/>
      <c r="F272" s="20" t="str"/>
      <c r="G272" s="20" t="str"/>
      <c r="H272" s="20" t="str"/>
      <c r="I272" s="20" t="str"/>
      <c r="J272" s="20" t="str"/>
      <c r="K272" s="20" t="str"/>
      <c r="L272" s="20" t="inlineStr">
        <is>
          <t>待确认</t>
        </is>
      </c>
      <c r="M272" s="20" t="str"/>
      <c r="N272" s="20" t="inlineStr">
        <is>
          <t>PENDING</t>
        </is>
      </c>
      <c r="O272" s="20" t="inlineStr">
        <is>
          <t>待确认</t>
        </is>
      </c>
      <c r="P272" s="20" t="str"/>
    </row>
    <row r="273">
      <c r="A273" s="20" t="n">
        <v>270</v>
      </c>
      <c r="B273" s="20" t="str"/>
      <c r="C273" s="20" t="str"/>
      <c r="D273" s="20" t="str"/>
      <c r="E273" s="20" t="str"/>
      <c r="F273" s="20" t="str"/>
      <c r="G273" s="20" t="str"/>
      <c r="H273" s="20" t="str"/>
      <c r="I273" s="20" t="str"/>
      <c r="J273" s="20" t="str"/>
      <c r="K273" s="20" t="str"/>
      <c r="L273" s="20" t="inlineStr">
        <is>
          <t>待确认</t>
        </is>
      </c>
      <c r="M273" s="20" t="str"/>
      <c r="N273" s="20" t="inlineStr">
        <is>
          <t>PENDING</t>
        </is>
      </c>
      <c r="O273" s="20" t="inlineStr">
        <is>
          <t>待确认</t>
        </is>
      </c>
      <c r="P273" s="20" t="str"/>
    </row>
    <row r="274">
      <c r="A274" s="20" t="n">
        <v>271</v>
      </c>
      <c r="B274" s="20" t="str"/>
      <c r="C274" s="20" t="str"/>
      <c r="D274" s="20" t="str"/>
      <c r="E274" s="20" t="str"/>
      <c r="F274" s="20" t="str"/>
      <c r="G274" s="20" t="str"/>
      <c r="H274" s="20" t="str"/>
      <c r="I274" s="20" t="str"/>
      <c r="J274" s="20" t="str"/>
      <c r="K274" s="20" t="str"/>
      <c r="L274" s="20" t="inlineStr">
        <is>
          <t>待确认</t>
        </is>
      </c>
      <c r="M274" s="20" t="str"/>
      <c r="N274" s="20" t="inlineStr">
        <is>
          <t>PENDING</t>
        </is>
      </c>
      <c r="O274" s="20" t="inlineStr">
        <is>
          <t>待确认</t>
        </is>
      </c>
      <c r="P274" s="20" t="str"/>
    </row>
    <row r="275">
      <c r="A275" s="20" t="n">
        <v>272</v>
      </c>
      <c r="B275" s="20" t="str"/>
      <c r="C275" s="20" t="str"/>
      <c r="D275" s="20" t="str"/>
      <c r="E275" s="20" t="str"/>
      <c r="F275" s="20" t="str"/>
      <c r="G275" s="20" t="str"/>
      <c r="H275" s="20" t="str"/>
      <c r="I275" s="20" t="str"/>
      <c r="J275" s="20" t="str"/>
      <c r="K275" s="20" t="str"/>
      <c r="L275" s="20" t="inlineStr">
        <is>
          <t>待确认</t>
        </is>
      </c>
      <c r="M275" s="20" t="str"/>
      <c r="N275" s="20" t="inlineStr">
        <is>
          <t>PENDING</t>
        </is>
      </c>
      <c r="O275" s="20" t="inlineStr">
        <is>
          <t>待确认</t>
        </is>
      </c>
      <c r="P275" s="20" t="str"/>
    </row>
    <row r="276">
      <c r="A276" s="20" t="n">
        <v>273</v>
      </c>
      <c r="B276" s="20" t="str"/>
      <c r="C276" s="20" t="str"/>
      <c r="D276" s="20" t="str"/>
      <c r="E276" s="20" t="str"/>
      <c r="F276" s="20" t="str"/>
      <c r="G276" s="20" t="str"/>
      <c r="H276" s="20" t="str"/>
      <c r="I276" s="20" t="str"/>
      <c r="J276" s="20" t="str"/>
      <c r="K276" s="20" t="str"/>
      <c r="L276" s="20" t="inlineStr">
        <is>
          <t>待确认</t>
        </is>
      </c>
      <c r="M276" s="20" t="str"/>
      <c r="N276" s="20" t="inlineStr">
        <is>
          <t>PENDING</t>
        </is>
      </c>
      <c r="O276" s="20" t="inlineStr">
        <is>
          <t>待确认</t>
        </is>
      </c>
      <c r="P276" s="20" t="str"/>
    </row>
    <row r="277">
      <c r="A277" s="20" t="n">
        <v>274</v>
      </c>
      <c r="B277" s="20" t="str"/>
      <c r="C277" s="20" t="str"/>
      <c r="D277" s="20" t="str"/>
      <c r="E277" s="20" t="str"/>
      <c r="F277" s="20" t="str"/>
      <c r="G277" s="20" t="str"/>
      <c r="H277" s="20" t="str"/>
      <c r="I277" s="20" t="str"/>
      <c r="J277" s="20" t="str"/>
      <c r="K277" s="20" t="str"/>
      <c r="L277" s="20" t="inlineStr">
        <is>
          <t>待确认</t>
        </is>
      </c>
      <c r="M277" s="20" t="str"/>
      <c r="N277" s="20" t="inlineStr">
        <is>
          <t>PENDING</t>
        </is>
      </c>
      <c r="O277" s="20" t="inlineStr">
        <is>
          <t>待确认</t>
        </is>
      </c>
      <c r="P277" s="20" t="str"/>
    </row>
    <row r="278">
      <c r="A278" s="20" t="n">
        <v>275</v>
      </c>
      <c r="B278" s="20" t="str"/>
      <c r="C278" s="20" t="str"/>
      <c r="D278" s="20" t="str"/>
      <c r="E278" s="20" t="str"/>
      <c r="F278" s="20" t="str"/>
      <c r="G278" s="20" t="str"/>
      <c r="H278" s="20" t="str"/>
      <c r="I278" s="20" t="str"/>
      <c r="J278" s="20" t="str"/>
      <c r="K278" s="20" t="str"/>
      <c r="L278" s="20" t="inlineStr">
        <is>
          <t>待确认</t>
        </is>
      </c>
      <c r="M278" s="20" t="str"/>
      <c r="N278" s="20" t="inlineStr">
        <is>
          <t>PENDING</t>
        </is>
      </c>
      <c r="O278" s="20" t="inlineStr">
        <is>
          <t>待确认</t>
        </is>
      </c>
      <c r="P278" s="20" t="str"/>
    </row>
    <row r="279">
      <c r="A279" s="20" t="n">
        <v>276</v>
      </c>
      <c r="B279" s="20" t="str"/>
      <c r="C279" s="20" t="str"/>
      <c r="D279" s="20" t="str"/>
      <c r="E279" s="20" t="str"/>
      <c r="F279" s="20" t="str"/>
      <c r="G279" s="20" t="str"/>
      <c r="H279" s="20" t="str"/>
      <c r="I279" s="20" t="str"/>
      <c r="J279" s="20" t="str"/>
      <c r="K279" s="20" t="str"/>
      <c r="L279" s="20" t="inlineStr">
        <is>
          <t>待确认</t>
        </is>
      </c>
      <c r="M279" s="20" t="str"/>
      <c r="N279" s="20" t="inlineStr">
        <is>
          <t>PENDING</t>
        </is>
      </c>
      <c r="O279" s="20" t="inlineStr">
        <is>
          <t>待确认</t>
        </is>
      </c>
      <c r="P279" s="20" t="str"/>
    </row>
    <row r="280">
      <c r="A280" s="20" t="n">
        <v>277</v>
      </c>
      <c r="B280" s="20" t="str"/>
      <c r="C280" s="20" t="str"/>
      <c r="D280" s="20" t="str"/>
      <c r="E280" s="20" t="str"/>
      <c r="F280" s="20" t="str"/>
      <c r="G280" s="20" t="str"/>
      <c r="H280" s="20" t="str"/>
      <c r="I280" s="20" t="str"/>
      <c r="J280" s="20" t="str"/>
      <c r="K280" s="20" t="str"/>
      <c r="L280" s="20" t="inlineStr">
        <is>
          <t>待确认</t>
        </is>
      </c>
      <c r="M280" s="20" t="str"/>
      <c r="N280" s="20" t="inlineStr">
        <is>
          <t>PENDING</t>
        </is>
      </c>
      <c r="O280" s="20" t="inlineStr">
        <is>
          <t>待确认</t>
        </is>
      </c>
      <c r="P280" s="20" t="str"/>
    </row>
    <row r="281">
      <c r="A281" s="20" t="n">
        <v>278</v>
      </c>
      <c r="B281" s="20" t="str"/>
      <c r="C281" s="20" t="str"/>
      <c r="D281" s="20" t="str"/>
      <c r="E281" s="20" t="str"/>
      <c r="F281" s="20" t="str"/>
      <c r="G281" s="20" t="str"/>
      <c r="H281" s="20" t="str"/>
      <c r="I281" s="20" t="str"/>
      <c r="J281" s="20" t="str"/>
      <c r="K281" s="20" t="str"/>
      <c r="L281" s="20" t="inlineStr">
        <is>
          <t>待确认</t>
        </is>
      </c>
      <c r="M281" s="20" t="str"/>
      <c r="N281" s="20" t="inlineStr">
        <is>
          <t>PENDING</t>
        </is>
      </c>
      <c r="O281" s="20" t="inlineStr">
        <is>
          <t>待确认</t>
        </is>
      </c>
      <c r="P281" s="20" t="str"/>
    </row>
    <row r="282">
      <c r="A282" s="20" t="n">
        <v>279</v>
      </c>
      <c r="B282" s="20" t="str"/>
      <c r="C282" s="20" t="str"/>
      <c r="D282" s="20" t="str"/>
      <c r="E282" s="20" t="str"/>
      <c r="F282" s="20" t="str"/>
      <c r="G282" s="20" t="str"/>
      <c r="H282" s="20" t="str"/>
      <c r="I282" s="20" t="str"/>
      <c r="J282" s="20" t="str"/>
      <c r="K282" s="20" t="str"/>
      <c r="L282" s="20" t="inlineStr">
        <is>
          <t>待确认</t>
        </is>
      </c>
      <c r="M282" s="20" t="str"/>
      <c r="N282" s="20" t="inlineStr">
        <is>
          <t>PENDING</t>
        </is>
      </c>
      <c r="O282" s="20" t="inlineStr">
        <is>
          <t>待确认</t>
        </is>
      </c>
      <c r="P282" s="20" t="str"/>
    </row>
    <row r="283">
      <c r="A283" s="20" t="n">
        <v>280</v>
      </c>
      <c r="B283" s="20" t="str"/>
      <c r="C283" s="20" t="str"/>
      <c r="D283" s="20" t="str"/>
      <c r="E283" s="20" t="str"/>
      <c r="F283" s="20" t="str"/>
      <c r="G283" s="20" t="str"/>
      <c r="H283" s="20" t="str"/>
      <c r="I283" s="20" t="str"/>
      <c r="J283" s="20" t="str"/>
      <c r="K283" s="20" t="str"/>
      <c r="L283" s="20" t="inlineStr">
        <is>
          <t>待确认</t>
        </is>
      </c>
      <c r="M283" s="20" t="str"/>
      <c r="N283" s="20" t="inlineStr">
        <is>
          <t>PENDING</t>
        </is>
      </c>
      <c r="O283" s="20" t="inlineStr">
        <is>
          <t>待确认</t>
        </is>
      </c>
      <c r="P283" s="20" t="str"/>
    </row>
    <row r="284">
      <c r="A284" s="20" t="n">
        <v>281</v>
      </c>
      <c r="B284" s="20" t="str"/>
      <c r="C284" s="20" t="str"/>
      <c r="D284" s="20" t="str"/>
      <c r="E284" s="20" t="str"/>
      <c r="F284" s="20" t="str"/>
      <c r="G284" s="20" t="str"/>
      <c r="H284" s="20" t="str"/>
      <c r="I284" s="20" t="str"/>
      <c r="J284" s="20" t="str"/>
      <c r="K284" s="20" t="str"/>
      <c r="L284" s="20" t="inlineStr">
        <is>
          <t>待确认</t>
        </is>
      </c>
      <c r="M284" s="20" t="str"/>
      <c r="N284" s="20" t="inlineStr">
        <is>
          <t>PENDING</t>
        </is>
      </c>
      <c r="O284" s="20" t="inlineStr">
        <is>
          <t>待确认</t>
        </is>
      </c>
      <c r="P284" s="20" t="str"/>
    </row>
    <row r="285">
      <c r="A285" s="20" t="n">
        <v>282</v>
      </c>
      <c r="B285" s="20" t="str"/>
      <c r="C285" s="20" t="str"/>
      <c r="D285" s="20" t="str"/>
      <c r="E285" s="20" t="str"/>
      <c r="F285" s="20" t="str"/>
      <c r="G285" s="20" t="str"/>
      <c r="H285" s="20" t="str"/>
      <c r="I285" s="20" t="str"/>
      <c r="J285" s="20" t="str"/>
      <c r="K285" s="20" t="str"/>
      <c r="L285" s="20" t="inlineStr">
        <is>
          <t>待确认</t>
        </is>
      </c>
      <c r="M285" s="20" t="str"/>
      <c r="N285" s="20" t="inlineStr">
        <is>
          <t>PENDING</t>
        </is>
      </c>
      <c r="O285" s="20" t="inlineStr">
        <is>
          <t>待确认</t>
        </is>
      </c>
      <c r="P285" s="20" t="str"/>
    </row>
    <row r="286">
      <c r="A286" s="20" t="n">
        <v>283</v>
      </c>
      <c r="B286" s="20" t="str"/>
      <c r="C286" s="20" t="str"/>
      <c r="D286" s="20" t="str"/>
      <c r="E286" s="20" t="str"/>
      <c r="F286" s="20" t="str"/>
      <c r="G286" s="20" t="str"/>
      <c r="H286" s="20" t="str"/>
      <c r="I286" s="20" t="str"/>
      <c r="J286" s="20" t="str"/>
      <c r="K286" s="20" t="str"/>
      <c r="L286" s="20" t="inlineStr">
        <is>
          <t>待确认</t>
        </is>
      </c>
      <c r="M286" s="20" t="str"/>
      <c r="N286" s="20" t="inlineStr">
        <is>
          <t>PENDING</t>
        </is>
      </c>
      <c r="O286" s="20" t="inlineStr">
        <is>
          <t>待确认</t>
        </is>
      </c>
      <c r="P286" s="20" t="str"/>
    </row>
    <row r="287">
      <c r="A287" s="20" t="n">
        <v>284</v>
      </c>
      <c r="B287" s="20" t="str"/>
      <c r="C287" s="20" t="str"/>
      <c r="D287" s="20" t="str"/>
      <c r="E287" s="20" t="str"/>
      <c r="F287" s="20" t="str"/>
      <c r="G287" s="20" t="str"/>
      <c r="H287" s="20" t="str"/>
      <c r="I287" s="20" t="str"/>
      <c r="J287" s="20" t="str"/>
      <c r="K287" s="20" t="str"/>
      <c r="L287" s="20" t="inlineStr">
        <is>
          <t>待确认</t>
        </is>
      </c>
      <c r="M287" s="20" t="str"/>
      <c r="N287" s="20" t="inlineStr">
        <is>
          <t>PENDING</t>
        </is>
      </c>
      <c r="O287" s="20" t="inlineStr">
        <is>
          <t>待确认</t>
        </is>
      </c>
      <c r="P287" s="20" t="str"/>
    </row>
    <row r="288">
      <c r="A288" s="20" t="n">
        <v>285</v>
      </c>
      <c r="B288" s="20" t="str"/>
      <c r="C288" s="20" t="str"/>
      <c r="D288" s="20" t="str"/>
      <c r="E288" s="20" t="str"/>
      <c r="F288" s="20" t="str"/>
      <c r="G288" s="20" t="str"/>
      <c r="H288" s="20" t="str"/>
      <c r="I288" s="20" t="str"/>
      <c r="J288" s="20" t="str"/>
      <c r="K288" s="20" t="str"/>
      <c r="L288" s="20" t="inlineStr">
        <is>
          <t>待确认</t>
        </is>
      </c>
      <c r="M288" s="20" t="str"/>
      <c r="N288" s="20" t="inlineStr">
        <is>
          <t>PENDING</t>
        </is>
      </c>
      <c r="O288" s="20" t="inlineStr">
        <is>
          <t>待确认</t>
        </is>
      </c>
      <c r="P288" s="20" t="str"/>
    </row>
    <row r="289">
      <c r="A289" s="20" t="n">
        <v>286</v>
      </c>
      <c r="B289" s="20" t="str"/>
      <c r="C289" s="20" t="str"/>
      <c r="D289" s="20" t="str"/>
      <c r="E289" s="20" t="str"/>
      <c r="F289" s="20" t="str"/>
      <c r="G289" s="20" t="str"/>
      <c r="H289" s="20" t="str"/>
      <c r="I289" s="20" t="str"/>
      <c r="J289" s="20" t="str"/>
      <c r="K289" s="20" t="str"/>
      <c r="L289" s="20" t="inlineStr">
        <is>
          <t>待确认</t>
        </is>
      </c>
      <c r="M289" s="20" t="str"/>
      <c r="N289" s="20" t="inlineStr">
        <is>
          <t>PENDING</t>
        </is>
      </c>
      <c r="O289" s="20" t="inlineStr">
        <is>
          <t>待确认</t>
        </is>
      </c>
      <c r="P289" s="20" t="str"/>
    </row>
    <row r="290">
      <c r="A290" s="20" t="n">
        <v>287</v>
      </c>
      <c r="B290" s="20" t="str"/>
      <c r="C290" s="20" t="str"/>
      <c r="D290" s="20" t="str"/>
      <c r="E290" s="20" t="str"/>
      <c r="F290" s="20" t="str"/>
      <c r="G290" s="20" t="str"/>
      <c r="H290" s="20" t="str"/>
      <c r="I290" s="20" t="str"/>
      <c r="J290" s="20" t="str"/>
      <c r="K290" s="20" t="str"/>
      <c r="L290" s="20" t="inlineStr">
        <is>
          <t>待确认</t>
        </is>
      </c>
      <c r="M290" s="20" t="str"/>
      <c r="N290" s="20" t="inlineStr">
        <is>
          <t>PENDING</t>
        </is>
      </c>
      <c r="O290" s="20" t="inlineStr">
        <is>
          <t>待确认</t>
        </is>
      </c>
      <c r="P290" s="20" t="str"/>
    </row>
    <row r="291">
      <c r="A291" s="20" t="n">
        <v>288</v>
      </c>
      <c r="B291" s="20" t="str"/>
      <c r="C291" s="20" t="str"/>
      <c r="D291" s="20" t="str"/>
      <c r="E291" s="20" t="str"/>
      <c r="F291" s="20" t="str"/>
      <c r="G291" s="20" t="str"/>
      <c r="H291" s="20" t="str"/>
      <c r="I291" s="20" t="str"/>
      <c r="J291" s="20" t="str"/>
      <c r="K291" s="20" t="str"/>
      <c r="L291" s="20" t="inlineStr">
        <is>
          <t>待确认</t>
        </is>
      </c>
      <c r="M291" s="20" t="str"/>
      <c r="N291" s="20" t="inlineStr">
        <is>
          <t>PENDING</t>
        </is>
      </c>
      <c r="O291" s="20" t="inlineStr">
        <is>
          <t>待确认</t>
        </is>
      </c>
      <c r="P291" s="20" t="str"/>
    </row>
    <row r="292">
      <c r="A292" s="20" t="n">
        <v>289</v>
      </c>
      <c r="B292" s="20" t="str"/>
      <c r="C292" s="20" t="str"/>
      <c r="D292" s="20" t="str"/>
      <c r="E292" s="20" t="str"/>
      <c r="F292" s="20" t="str"/>
      <c r="G292" s="20" t="str"/>
      <c r="H292" s="20" t="str"/>
      <c r="I292" s="20" t="str"/>
      <c r="J292" s="20" t="str"/>
      <c r="K292" s="20" t="str"/>
      <c r="L292" s="20" t="inlineStr">
        <is>
          <t>待确认</t>
        </is>
      </c>
      <c r="M292" s="20" t="str"/>
      <c r="N292" s="20" t="inlineStr">
        <is>
          <t>PENDING</t>
        </is>
      </c>
      <c r="O292" s="20" t="inlineStr">
        <is>
          <t>待确认</t>
        </is>
      </c>
      <c r="P292" s="20" t="str"/>
    </row>
    <row r="293">
      <c r="A293" s="20" t="n">
        <v>290</v>
      </c>
      <c r="B293" s="20" t="str"/>
      <c r="C293" s="20" t="str"/>
      <c r="D293" s="20" t="str"/>
      <c r="E293" s="20" t="str"/>
      <c r="F293" s="20" t="str"/>
      <c r="G293" s="20" t="str"/>
      <c r="H293" s="20" t="str"/>
      <c r="I293" s="20" t="str"/>
      <c r="J293" s="20" t="str"/>
      <c r="K293" s="20" t="str"/>
      <c r="L293" s="20" t="inlineStr">
        <is>
          <t>待确认</t>
        </is>
      </c>
      <c r="M293" s="20" t="str"/>
      <c r="N293" s="20" t="inlineStr">
        <is>
          <t>PENDING</t>
        </is>
      </c>
      <c r="O293" s="20" t="inlineStr">
        <is>
          <t>待确认</t>
        </is>
      </c>
      <c r="P293" s="20" t="str"/>
    </row>
    <row r="294">
      <c r="A294" s="20" t="n">
        <v>291</v>
      </c>
      <c r="B294" s="20" t="str"/>
      <c r="C294" s="20" t="str"/>
      <c r="D294" s="20" t="str"/>
      <c r="E294" s="20" t="str"/>
      <c r="F294" s="20" t="str"/>
      <c r="G294" s="20" t="str"/>
      <c r="H294" s="20" t="str"/>
      <c r="I294" s="20" t="str"/>
      <c r="J294" s="20" t="str"/>
      <c r="K294" s="20" t="str"/>
      <c r="L294" s="20" t="inlineStr">
        <is>
          <t>待确认</t>
        </is>
      </c>
      <c r="M294" s="20" t="str"/>
      <c r="N294" s="20" t="inlineStr">
        <is>
          <t>PENDING</t>
        </is>
      </c>
      <c r="O294" s="20" t="inlineStr">
        <is>
          <t>待确认</t>
        </is>
      </c>
      <c r="P294" s="20" t="str"/>
    </row>
    <row r="295">
      <c r="A295" s="20" t="n">
        <v>292</v>
      </c>
      <c r="B295" s="20" t="str"/>
      <c r="C295" s="20" t="str"/>
      <c r="D295" s="20" t="str"/>
      <c r="E295" s="20" t="str"/>
      <c r="F295" s="20" t="str"/>
      <c r="G295" s="20" t="str"/>
      <c r="H295" s="20" t="str"/>
      <c r="I295" s="20" t="str"/>
      <c r="J295" s="20" t="str"/>
      <c r="K295" s="20" t="str"/>
      <c r="L295" s="20" t="inlineStr">
        <is>
          <t>待确认</t>
        </is>
      </c>
      <c r="M295" s="20" t="str"/>
      <c r="N295" s="20" t="inlineStr">
        <is>
          <t>PENDING</t>
        </is>
      </c>
      <c r="O295" s="20" t="inlineStr">
        <is>
          <t>待确认</t>
        </is>
      </c>
      <c r="P295" s="20" t="str"/>
    </row>
    <row r="296">
      <c r="A296" s="20" t="n">
        <v>293</v>
      </c>
      <c r="B296" s="20" t="str"/>
      <c r="C296" s="20" t="str"/>
      <c r="D296" s="20" t="str"/>
      <c r="E296" s="20" t="str"/>
      <c r="F296" s="20" t="str"/>
      <c r="G296" s="20" t="str"/>
      <c r="H296" s="20" t="str"/>
      <c r="I296" s="20" t="str"/>
      <c r="J296" s="20" t="str"/>
      <c r="K296" s="20" t="str"/>
      <c r="L296" s="20" t="inlineStr">
        <is>
          <t>待确认</t>
        </is>
      </c>
      <c r="M296" s="20" t="str"/>
      <c r="N296" s="20" t="inlineStr">
        <is>
          <t>PENDING</t>
        </is>
      </c>
      <c r="O296" s="20" t="inlineStr">
        <is>
          <t>待确认</t>
        </is>
      </c>
      <c r="P296" s="20" t="str"/>
    </row>
    <row r="297">
      <c r="A297" s="20" t="n">
        <v>294</v>
      </c>
      <c r="B297" s="20" t="str"/>
      <c r="C297" s="20" t="str"/>
      <c r="D297" s="20" t="str"/>
      <c r="E297" s="20" t="str"/>
      <c r="F297" s="20" t="str"/>
      <c r="G297" s="20" t="str"/>
      <c r="H297" s="20" t="str"/>
      <c r="I297" s="20" t="str"/>
      <c r="J297" s="20" t="str"/>
      <c r="K297" s="20" t="str"/>
      <c r="L297" s="20" t="inlineStr">
        <is>
          <t>待确认</t>
        </is>
      </c>
      <c r="M297" s="20" t="str"/>
      <c r="N297" s="20" t="inlineStr">
        <is>
          <t>PENDING</t>
        </is>
      </c>
      <c r="O297" s="20" t="inlineStr">
        <is>
          <t>待确认</t>
        </is>
      </c>
      <c r="P297" s="20" t="str"/>
    </row>
    <row r="298">
      <c r="A298" s="20" t="n">
        <v>295</v>
      </c>
      <c r="B298" s="20" t="str"/>
      <c r="C298" s="20" t="str"/>
      <c r="D298" s="20" t="str"/>
      <c r="E298" s="20" t="str"/>
      <c r="F298" s="20" t="str"/>
      <c r="G298" s="20" t="str"/>
      <c r="H298" s="20" t="str"/>
      <c r="I298" s="20" t="str"/>
      <c r="J298" s="20" t="str"/>
      <c r="K298" s="20" t="str"/>
      <c r="L298" s="20" t="inlineStr">
        <is>
          <t>待确认</t>
        </is>
      </c>
      <c r="M298" s="20" t="str"/>
      <c r="N298" s="20" t="inlineStr">
        <is>
          <t>PENDING</t>
        </is>
      </c>
      <c r="O298" s="20" t="inlineStr">
        <is>
          <t>待确认</t>
        </is>
      </c>
      <c r="P298" s="20" t="str"/>
    </row>
    <row r="299">
      <c r="A299" s="20" t="n">
        <v>296</v>
      </c>
      <c r="B299" s="20" t="str"/>
      <c r="C299" s="20" t="str"/>
      <c r="D299" s="20" t="str"/>
      <c r="E299" s="20" t="str"/>
      <c r="F299" s="20" t="str"/>
      <c r="G299" s="20" t="str"/>
      <c r="H299" s="20" t="str"/>
      <c r="I299" s="20" t="str"/>
      <c r="J299" s="20" t="str"/>
      <c r="K299" s="20" t="str"/>
      <c r="L299" s="20" t="inlineStr">
        <is>
          <t>待确认</t>
        </is>
      </c>
      <c r="M299" s="20" t="str"/>
      <c r="N299" s="20" t="inlineStr">
        <is>
          <t>PENDING</t>
        </is>
      </c>
      <c r="O299" s="20" t="inlineStr">
        <is>
          <t>待确认</t>
        </is>
      </c>
      <c r="P299" s="20" t="str"/>
    </row>
    <row r="300">
      <c r="A300" s="20" t="n">
        <v>297</v>
      </c>
      <c r="B300" s="20" t="str"/>
      <c r="C300" s="20" t="str"/>
      <c r="D300" s="20" t="str"/>
      <c r="E300" s="20" t="str"/>
      <c r="F300" s="20" t="str"/>
      <c r="G300" s="20" t="str"/>
      <c r="H300" s="20" t="str"/>
      <c r="I300" s="20" t="str"/>
      <c r="J300" s="20" t="str"/>
      <c r="K300" s="20" t="str"/>
      <c r="L300" s="20" t="inlineStr">
        <is>
          <t>待确认</t>
        </is>
      </c>
      <c r="M300" s="20" t="str"/>
      <c r="N300" s="20" t="inlineStr">
        <is>
          <t>PENDING</t>
        </is>
      </c>
      <c r="O300" s="20" t="inlineStr">
        <is>
          <t>待确认</t>
        </is>
      </c>
      <c r="P300" s="20" t="str"/>
    </row>
    <row r="301">
      <c r="A301" s="20" t="n">
        <v>298</v>
      </c>
      <c r="B301" s="20" t="str"/>
      <c r="C301" s="20" t="str"/>
      <c r="D301" s="20" t="str"/>
      <c r="E301" s="20" t="str"/>
      <c r="F301" s="20" t="str"/>
      <c r="G301" s="20" t="str"/>
      <c r="H301" s="20" t="str"/>
      <c r="I301" s="20" t="str"/>
      <c r="J301" s="20" t="str"/>
      <c r="K301" s="20" t="str"/>
      <c r="L301" s="20" t="inlineStr">
        <is>
          <t>待确认</t>
        </is>
      </c>
      <c r="M301" s="20" t="str"/>
      <c r="N301" s="20" t="inlineStr">
        <is>
          <t>PENDING</t>
        </is>
      </c>
      <c r="O301" s="20" t="inlineStr">
        <is>
          <t>待确认</t>
        </is>
      </c>
      <c r="P301" s="20" t="str"/>
    </row>
    <row r="302">
      <c r="A302" s="20" t="n">
        <v>299</v>
      </c>
      <c r="B302" s="20" t="str"/>
      <c r="C302" s="20" t="str"/>
      <c r="D302" s="20" t="str"/>
      <c r="E302" s="20" t="str"/>
      <c r="F302" s="20" t="str"/>
      <c r="G302" s="20" t="str"/>
      <c r="H302" s="20" t="str"/>
      <c r="I302" s="20" t="str"/>
      <c r="J302" s="20" t="str"/>
      <c r="K302" s="20" t="str"/>
      <c r="L302" s="20" t="inlineStr">
        <is>
          <t>待确认</t>
        </is>
      </c>
      <c r="M302" s="20" t="str"/>
      <c r="N302" s="20" t="inlineStr">
        <is>
          <t>PENDING</t>
        </is>
      </c>
      <c r="O302" s="20" t="inlineStr">
        <is>
          <t>待确认</t>
        </is>
      </c>
      <c r="P302" s="20" t="str"/>
    </row>
    <row r="303">
      <c r="A303" s="20" t="n">
        <v>300</v>
      </c>
      <c r="B303" s="20" t="str"/>
      <c r="C303" s="20" t="str"/>
      <c r="D303" s="20" t="str"/>
      <c r="E303" s="20" t="str"/>
      <c r="F303" s="20" t="str"/>
      <c r="G303" s="20" t="str"/>
      <c r="H303" s="20" t="str"/>
      <c r="I303" s="20" t="str"/>
      <c r="J303" s="20" t="str"/>
      <c r="K303" s="20" t="str"/>
      <c r="L303" s="20" t="inlineStr">
        <is>
          <t>待确认</t>
        </is>
      </c>
      <c r="M303" s="20" t="str"/>
      <c r="N303" s="20" t="inlineStr">
        <is>
          <t>PENDING</t>
        </is>
      </c>
      <c r="O303" s="20" t="inlineStr">
        <is>
          <t>待确认</t>
        </is>
      </c>
      <c r="P303" s="20" t="str"/>
    </row>
    <row r="304">
      <c r="A304" s="20" t="n">
        <v>301</v>
      </c>
      <c r="B304" s="20" t="str"/>
      <c r="C304" s="20" t="str"/>
      <c r="D304" s="20" t="str"/>
      <c r="E304" s="20" t="str"/>
      <c r="F304" s="20" t="str"/>
      <c r="G304" s="20" t="str"/>
      <c r="H304" s="20" t="str"/>
      <c r="I304" s="20" t="str"/>
      <c r="J304" s="20" t="str"/>
      <c r="K304" s="20" t="str"/>
      <c r="L304" s="20" t="inlineStr">
        <is>
          <t>待确认</t>
        </is>
      </c>
      <c r="M304" s="20" t="str"/>
      <c r="N304" s="20" t="inlineStr">
        <is>
          <t>PENDING</t>
        </is>
      </c>
      <c r="O304" s="20" t="inlineStr">
        <is>
          <t>待确认</t>
        </is>
      </c>
      <c r="P304" s="20" t="str"/>
    </row>
    <row r="305">
      <c r="A305" s="20" t="n">
        <v>302</v>
      </c>
      <c r="B305" s="20" t="str"/>
      <c r="C305" s="20" t="str"/>
      <c r="D305" s="20" t="str"/>
      <c r="E305" s="20" t="str"/>
      <c r="F305" s="20" t="str"/>
      <c r="G305" s="20" t="str"/>
      <c r="H305" s="20" t="str"/>
      <c r="I305" s="20" t="str"/>
      <c r="J305" s="20" t="str"/>
      <c r="K305" s="20" t="str"/>
      <c r="L305" s="20" t="inlineStr">
        <is>
          <t>待确认</t>
        </is>
      </c>
      <c r="M305" s="20" t="str"/>
      <c r="N305" s="20" t="inlineStr">
        <is>
          <t>PENDING</t>
        </is>
      </c>
      <c r="O305" s="20" t="inlineStr">
        <is>
          <t>待确认</t>
        </is>
      </c>
      <c r="P305" s="20" t="str"/>
    </row>
    <row r="306">
      <c r="A306" s="20" t="n">
        <v>303</v>
      </c>
      <c r="B306" s="20" t="str"/>
      <c r="C306" s="20" t="str"/>
      <c r="D306" s="20" t="str"/>
      <c r="E306" s="20" t="str"/>
      <c r="F306" s="20" t="str"/>
      <c r="G306" s="20" t="str"/>
      <c r="H306" s="20" t="str"/>
      <c r="I306" s="20" t="str"/>
      <c r="J306" s="20" t="str"/>
      <c r="K306" s="20" t="str"/>
      <c r="L306" s="20" t="inlineStr">
        <is>
          <t>待确认</t>
        </is>
      </c>
      <c r="M306" s="20" t="str"/>
      <c r="N306" s="20" t="inlineStr">
        <is>
          <t>PENDING</t>
        </is>
      </c>
      <c r="O306" s="20" t="inlineStr">
        <is>
          <t>待确认</t>
        </is>
      </c>
      <c r="P306" s="20" t="str"/>
    </row>
    <row r="307">
      <c r="A307" s="20" t="n">
        <v>304</v>
      </c>
      <c r="B307" s="20" t="str"/>
      <c r="C307" s="20" t="str"/>
      <c r="D307" s="20" t="str"/>
      <c r="E307" s="20" t="str"/>
      <c r="F307" s="20" t="str"/>
      <c r="G307" s="20" t="str"/>
      <c r="H307" s="20" t="str"/>
      <c r="I307" s="20" t="str"/>
      <c r="J307" s="20" t="str"/>
      <c r="K307" s="20" t="str"/>
      <c r="L307" s="20" t="inlineStr">
        <is>
          <t>待确认</t>
        </is>
      </c>
      <c r="M307" s="20" t="str"/>
      <c r="N307" s="20" t="inlineStr">
        <is>
          <t>PENDING</t>
        </is>
      </c>
      <c r="O307" s="20" t="inlineStr">
        <is>
          <t>待确认</t>
        </is>
      </c>
      <c r="P307" s="20" t="str"/>
    </row>
    <row r="308">
      <c r="A308" s="20" t="n">
        <v>305</v>
      </c>
      <c r="B308" s="20" t="str"/>
      <c r="C308" s="20" t="str"/>
      <c r="D308" s="20" t="str"/>
      <c r="E308" s="20" t="str"/>
      <c r="F308" s="20" t="str"/>
      <c r="G308" s="20" t="str"/>
      <c r="H308" s="20" t="str"/>
      <c r="I308" s="20" t="str"/>
      <c r="J308" s="20" t="str"/>
      <c r="K308" s="20" t="str"/>
      <c r="L308" s="20" t="inlineStr">
        <is>
          <t>待确认</t>
        </is>
      </c>
      <c r="M308" s="20" t="str"/>
      <c r="N308" s="20" t="inlineStr">
        <is>
          <t>PENDING</t>
        </is>
      </c>
      <c r="O308" s="20" t="inlineStr">
        <is>
          <t>待确认</t>
        </is>
      </c>
      <c r="P308" s="20" t="str"/>
    </row>
    <row r="309">
      <c r="A309" s="20" t="n">
        <v>306</v>
      </c>
      <c r="B309" s="20" t="str"/>
      <c r="C309" s="20" t="str"/>
      <c r="D309" s="20" t="str"/>
      <c r="E309" s="20" t="str"/>
      <c r="F309" s="20" t="str"/>
      <c r="G309" s="20" t="str"/>
      <c r="H309" s="20" t="str"/>
      <c r="I309" s="20" t="str"/>
      <c r="J309" s="20" t="str"/>
      <c r="K309" s="20" t="str"/>
      <c r="L309" s="20" t="inlineStr">
        <is>
          <t>待确认</t>
        </is>
      </c>
      <c r="M309" s="20" t="str"/>
      <c r="N309" s="20" t="inlineStr">
        <is>
          <t>PENDING</t>
        </is>
      </c>
      <c r="O309" s="20" t="inlineStr">
        <is>
          <t>待确认</t>
        </is>
      </c>
      <c r="P309" s="20" t="str"/>
    </row>
    <row r="310">
      <c r="A310" s="20" t="n">
        <v>307</v>
      </c>
      <c r="B310" s="20" t="str"/>
      <c r="C310" s="20" t="str"/>
      <c r="D310" s="20" t="str"/>
      <c r="E310" s="20" t="str"/>
      <c r="F310" s="20" t="str"/>
      <c r="G310" s="20" t="str"/>
      <c r="H310" s="20" t="str"/>
      <c r="I310" s="20" t="str"/>
      <c r="J310" s="20" t="str"/>
      <c r="K310" s="20" t="str"/>
      <c r="L310" s="20" t="inlineStr">
        <is>
          <t>待确认</t>
        </is>
      </c>
      <c r="M310" s="20" t="str"/>
      <c r="N310" s="20" t="inlineStr">
        <is>
          <t>PENDING</t>
        </is>
      </c>
      <c r="O310" s="20" t="inlineStr">
        <is>
          <t>待确认</t>
        </is>
      </c>
      <c r="P310" s="20" t="str"/>
    </row>
    <row r="311">
      <c r="A311" s="20" t="n">
        <v>308</v>
      </c>
      <c r="B311" s="20" t="str"/>
      <c r="C311" s="20" t="str"/>
      <c r="D311" s="20" t="str"/>
      <c r="E311" s="20" t="str"/>
      <c r="F311" s="20" t="str"/>
      <c r="G311" s="20" t="str"/>
      <c r="H311" s="20" t="str"/>
      <c r="I311" s="20" t="str"/>
      <c r="J311" s="20" t="str"/>
      <c r="K311" s="20" t="str"/>
      <c r="L311" s="20" t="inlineStr">
        <is>
          <t>待确认</t>
        </is>
      </c>
      <c r="M311" s="20" t="str"/>
      <c r="N311" s="20" t="inlineStr">
        <is>
          <t>PENDING</t>
        </is>
      </c>
      <c r="O311" s="20" t="inlineStr">
        <is>
          <t>待确认</t>
        </is>
      </c>
      <c r="P311" s="20" t="str"/>
    </row>
    <row r="312">
      <c r="A312" s="20" t="n">
        <v>309</v>
      </c>
      <c r="B312" s="20" t="str"/>
      <c r="C312" s="20" t="str"/>
      <c r="D312" s="20" t="str"/>
      <c r="E312" s="20" t="str"/>
      <c r="F312" s="20" t="str"/>
      <c r="G312" s="20" t="str"/>
      <c r="H312" s="20" t="str"/>
      <c r="I312" s="20" t="str"/>
      <c r="J312" s="20" t="str"/>
      <c r="K312" s="20" t="str"/>
      <c r="L312" s="20" t="inlineStr">
        <is>
          <t>待确认</t>
        </is>
      </c>
      <c r="M312" s="20" t="str"/>
      <c r="N312" s="20" t="inlineStr">
        <is>
          <t>PENDING</t>
        </is>
      </c>
      <c r="O312" s="20" t="inlineStr">
        <is>
          <t>待确认</t>
        </is>
      </c>
      <c r="P312" s="20" t="str"/>
    </row>
    <row r="313">
      <c r="A313" s="20" t="n">
        <v>310</v>
      </c>
      <c r="B313" s="20" t="str"/>
      <c r="C313" s="20" t="str"/>
      <c r="D313" s="20" t="str"/>
      <c r="E313" s="20" t="str"/>
      <c r="F313" s="20" t="str"/>
      <c r="G313" s="20" t="str"/>
      <c r="H313" s="20" t="str"/>
      <c r="I313" s="20" t="str"/>
      <c r="J313" s="20" t="str"/>
      <c r="K313" s="20" t="str"/>
      <c r="L313" s="20" t="inlineStr">
        <is>
          <t>待确认</t>
        </is>
      </c>
      <c r="M313" s="20" t="str"/>
      <c r="N313" s="20" t="inlineStr">
        <is>
          <t>PENDING</t>
        </is>
      </c>
      <c r="O313" s="20" t="inlineStr">
        <is>
          <t>待确认</t>
        </is>
      </c>
      <c r="P313" s="20" t="str"/>
    </row>
    <row r="314">
      <c r="A314" s="20" t="n">
        <v>311</v>
      </c>
      <c r="B314" s="20" t="str"/>
      <c r="C314" s="20" t="str"/>
      <c r="D314" s="20" t="str"/>
      <c r="E314" s="20" t="str"/>
      <c r="F314" s="20" t="str"/>
      <c r="G314" s="20" t="str"/>
      <c r="H314" s="20" t="str"/>
      <c r="I314" s="20" t="str"/>
      <c r="J314" s="20" t="str"/>
      <c r="K314" s="20" t="str"/>
      <c r="L314" s="20" t="inlineStr">
        <is>
          <t>待确认</t>
        </is>
      </c>
      <c r="M314" s="20" t="str"/>
      <c r="N314" s="20" t="inlineStr">
        <is>
          <t>PENDING</t>
        </is>
      </c>
      <c r="O314" s="20" t="inlineStr">
        <is>
          <t>待确认</t>
        </is>
      </c>
      <c r="P314" s="20" t="str"/>
    </row>
    <row r="315">
      <c r="A315" s="20" t="n">
        <v>312</v>
      </c>
      <c r="B315" s="20" t="str"/>
      <c r="C315" s="20" t="str"/>
      <c r="D315" s="20" t="str"/>
      <c r="E315" s="20" t="str"/>
      <c r="F315" s="20" t="str"/>
      <c r="G315" s="20" t="str"/>
      <c r="H315" s="20" t="str"/>
      <c r="I315" s="20" t="str"/>
      <c r="J315" s="20" t="str"/>
      <c r="K315" s="20" t="str"/>
      <c r="L315" s="20" t="inlineStr">
        <is>
          <t>待确认</t>
        </is>
      </c>
      <c r="M315" s="20" t="str"/>
      <c r="N315" s="20" t="inlineStr">
        <is>
          <t>PENDING</t>
        </is>
      </c>
      <c r="O315" s="20" t="inlineStr">
        <is>
          <t>待确认</t>
        </is>
      </c>
      <c r="P315" s="20" t="str"/>
    </row>
    <row r="316">
      <c r="A316" s="20" t="n">
        <v>313</v>
      </c>
      <c r="B316" s="20" t="str"/>
      <c r="C316" s="20" t="str"/>
      <c r="D316" s="20" t="str"/>
      <c r="E316" s="20" t="str"/>
      <c r="F316" s="20" t="str"/>
      <c r="G316" s="20" t="str"/>
      <c r="H316" s="20" t="str"/>
      <c r="I316" s="20" t="str"/>
      <c r="J316" s="20" t="str"/>
      <c r="K316" s="20" t="str"/>
      <c r="L316" s="20" t="inlineStr">
        <is>
          <t>待确认</t>
        </is>
      </c>
      <c r="M316" s="20" t="str"/>
      <c r="N316" s="20" t="inlineStr">
        <is>
          <t>PENDING</t>
        </is>
      </c>
      <c r="O316" s="20" t="inlineStr">
        <is>
          <t>待确认</t>
        </is>
      </c>
      <c r="P316" s="20" t="str"/>
    </row>
    <row r="317">
      <c r="A317" s="20" t="n">
        <v>314</v>
      </c>
      <c r="B317" s="20" t="str"/>
      <c r="C317" s="20" t="str"/>
      <c r="D317" s="20" t="str"/>
      <c r="E317" s="20" t="str"/>
      <c r="F317" s="20" t="str"/>
      <c r="G317" s="20" t="str"/>
      <c r="H317" s="20" t="str"/>
      <c r="I317" s="20" t="str"/>
      <c r="J317" s="20" t="str"/>
      <c r="K317" s="20" t="str"/>
      <c r="L317" s="20" t="inlineStr">
        <is>
          <t>待确认</t>
        </is>
      </c>
      <c r="M317" s="20" t="str"/>
      <c r="N317" s="20" t="inlineStr">
        <is>
          <t>PENDING</t>
        </is>
      </c>
      <c r="O317" s="20" t="inlineStr">
        <is>
          <t>待确认</t>
        </is>
      </c>
      <c r="P317" s="20" t="str"/>
    </row>
    <row r="318">
      <c r="A318" s="20" t="n">
        <v>315</v>
      </c>
      <c r="B318" s="20" t="str"/>
      <c r="C318" s="20" t="str"/>
      <c r="D318" s="20" t="str"/>
      <c r="E318" s="20" t="str"/>
      <c r="F318" s="20" t="str"/>
      <c r="G318" s="20" t="str"/>
      <c r="H318" s="20" t="str"/>
      <c r="I318" s="20" t="str"/>
      <c r="J318" s="20" t="str"/>
      <c r="K318" s="20" t="str"/>
      <c r="L318" s="20" t="inlineStr">
        <is>
          <t>待确认</t>
        </is>
      </c>
      <c r="M318" s="20" t="str"/>
      <c r="N318" s="20" t="inlineStr">
        <is>
          <t>PENDING</t>
        </is>
      </c>
      <c r="O318" s="20" t="inlineStr">
        <is>
          <t>待确认</t>
        </is>
      </c>
      <c r="P318" s="20" t="str"/>
    </row>
    <row r="319">
      <c r="A319" s="20" t="n">
        <v>316</v>
      </c>
      <c r="B319" s="20" t="str"/>
      <c r="C319" s="20" t="str"/>
      <c r="D319" s="20" t="str"/>
      <c r="E319" s="20" t="str"/>
      <c r="F319" s="20" t="str"/>
      <c r="G319" s="20" t="str"/>
      <c r="H319" s="20" t="str"/>
      <c r="I319" s="20" t="str"/>
      <c r="J319" s="20" t="str"/>
      <c r="K319" s="20" t="str"/>
      <c r="L319" s="20" t="inlineStr">
        <is>
          <t>待确认</t>
        </is>
      </c>
      <c r="M319" s="20" t="str"/>
      <c r="N319" s="20" t="inlineStr">
        <is>
          <t>PENDING</t>
        </is>
      </c>
      <c r="O319" s="20" t="inlineStr">
        <is>
          <t>待确认</t>
        </is>
      </c>
      <c r="P319" s="20" t="str"/>
    </row>
    <row r="320">
      <c r="A320" s="20" t="n">
        <v>317</v>
      </c>
      <c r="B320" s="20" t="str"/>
      <c r="C320" s="20" t="str"/>
      <c r="D320" s="20" t="str"/>
      <c r="E320" s="20" t="str"/>
      <c r="F320" s="20" t="str"/>
      <c r="G320" s="20" t="str"/>
      <c r="H320" s="20" t="str"/>
      <c r="I320" s="20" t="str"/>
      <c r="J320" s="20" t="str"/>
      <c r="K320" s="20" t="str"/>
      <c r="L320" s="20" t="inlineStr">
        <is>
          <t>待确认</t>
        </is>
      </c>
      <c r="M320" s="20" t="str"/>
      <c r="N320" s="20" t="inlineStr">
        <is>
          <t>PENDING</t>
        </is>
      </c>
      <c r="O320" s="20" t="inlineStr">
        <is>
          <t>待确认</t>
        </is>
      </c>
      <c r="P320" s="20" t="str"/>
    </row>
    <row r="321">
      <c r="A321" s="20" t="n">
        <v>318</v>
      </c>
      <c r="B321" s="20" t="str"/>
      <c r="C321" s="20" t="str"/>
      <c r="D321" s="20" t="str"/>
      <c r="E321" s="20" t="str"/>
      <c r="F321" s="20" t="str"/>
      <c r="G321" s="20" t="str"/>
      <c r="H321" s="20" t="str"/>
      <c r="I321" s="20" t="str"/>
      <c r="J321" s="20" t="str"/>
      <c r="K321" s="20" t="str"/>
      <c r="L321" s="20" t="inlineStr">
        <is>
          <t>待确认</t>
        </is>
      </c>
      <c r="M321" s="20" t="str"/>
      <c r="N321" s="20" t="inlineStr">
        <is>
          <t>PENDING</t>
        </is>
      </c>
      <c r="O321" s="20" t="inlineStr">
        <is>
          <t>待确认</t>
        </is>
      </c>
      <c r="P321" s="20" t="str"/>
    </row>
    <row r="322">
      <c r="A322" s="20" t="n">
        <v>319</v>
      </c>
      <c r="B322" s="20" t="str"/>
      <c r="C322" s="20" t="str"/>
      <c r="D322" s="20" t="str"/>
      <c r="E322" s="20" t="str"/>
      <c r="F322" s="20" t="str"/>
      <c r="G322" s="20" t="str"/>
      <c r="H322" s="20" t="str"/>
      <c r="I322" s="20" t="str"/>
      <c r="J322" s="20" t="str"/>
      <c r="K322" s="20" t="str"/>
      <c r="L322" s="20" t="inlineStr">
        <is>
          <t>待确认</t>
        </is>
      </c>
      <c r="M322" s="20" t="str"/>
      <c r="N322" s="20" t="inlineStr">
        <is>
          <t>PENDING</t>
        </is>
      </c>
      <c r="O322" s="20" t="inlineStr">
        <is>
          <t>待确认</t>
        </is>
      </c>
      <c r="P322" s="20" t="str"/>
    </row>
    <row r="323">
      <c r="A323" s="20" t="n">
        <v>320</v>
      </c>
      <c r="B323" s="20" t="str"/>
      <c r="C323" s="20" t="str"/>
      <c r="D323" s="20" t="str"/>
      <c r="E323" s="20" t="str"/>
      <c r="F323" s="20" t="str"/>
      <c r="G323" s="20" t="str"/>
      <c r="H323" s="20" t="str"/>
      <c r="I323" s="20" t="str"/>
      <c r="J323" s="20" t="str"/>
      <c r="K323" s="20" t="str"/>
      <c r="L323" s="20" t="inlineStr">
        <is>
          <t>待确认</t>
        </is>
      </c>
      <c r="M323" s="20" t="str"/>
      <c r="N323" s="20" t="inlineStr">
        <is>
          <t>PENDING</t>
        </is>
      </c>
      <c r="O323" s="20" t="inlineStr">
        <is>
          <t>待确认</t>
        </is>
      </c>
      <c r="P323" s="20" t="str"/>
    </row>
    <row r="324">
      <c r="A324" s="20" t="n">
        <v>321</v>
      </c>
      <c r="B324" s="20" t="str"/>
      <c r="C324" s="20" t="str"/>
      <c r="D324" s="20" t="str"/>
      <c r="E324" s="20" t="str"/>
      <c r="F324" s="20" t="str"/>
      <c r="G324" s="20" t="str"/>
      <c r="H324" s="20" t="str"/>
      <c r="I324" s="20" t="str"/>
      <c r="J324" s="20" t="str"/>
      <c r="K324" s="20" t="str"/>
      <c r="L324" s="20" t="inlineStr">
        <is>
          <t>待确认</t>
        </is>
      </c>
      <c r="M324" s="20" t="str"/>
      <c r="N324" s="20" t="inlineStr">
        <is>
          <t>PENDING</t>
        </is>
      </c>
      <c r="O324" s="20" t="inlineStr">
        <is>
          <t>待确认</t>
        </is>
      </c>
      <c r="P324" s="20" t="str"/>
    </row>
    <row r="325">
      <c r="A325" s="20" t="n">
        <v>322</v>
      </c>
      <c r="B325" s="20" t="str"/>
      <c r="C325" s="20" t="str"/>
      <c r="D325" s="20" t="str"/>
      <c r="E325" s="20" t="str"/>
      <c r="F325" s="20" t="str"/>
      <c r="G325" s="20" t="str"/>
      <c r="H325" s="20" t="str"/>
      <c r="I325" s="20" t="str"/>
      <c r="J325" s="20" t="str"/>
      <c r="K325" s="20" t="str"/>
      <c r="L325" s="20" t="inlineStr">
        <is>
          <t>待确认</t>
        </is>
      </c>
      <c r="M325" s="20" t="str"/>
      <c r="N325" s="20" t="inlineStr">
        <is>
          <t>PENDING</t>
        </is>
      </c>
      <c r="O325" s="20" t="inlineStr">
        <is>
          <t>待确认</t>
        </is>
      </c>
      <c r="P325" s="20" t="str"/>
    </row>
    <row r="326">
      <c r="A326" s="20" t="n">
        <v>323</v>
      </c>
      <c r="B326" s="20" t="str"/>
      <c r="C326" s="20" t="str"/>
      <c r="D326" s="20" t="str"/>
      <c r="E326" s="20" t="str"/>
      <c r="F326" s="20" t="str"/>
      <c r="G326" s="20" t="str"/>
      <c r="H326" s="20" t="str"/>
      <c r="I326" s="20" t="str"/>
      <c r="J326" s="20" t="str"/>
      <c r="K326" s="20" t="str"/>
      <c r="L326" s="20" t="inlineStr">
        <is>
          <t>待确认</t>
        </is>
      </c>
      <c r="M326" s="20" t="str"/>
      <c r="N326" s="20" t="inlineStr">
        <is>
          <t>PENDING</t>
        </is>
      </c>
      <c r="O326" s="20" t="inlineStr">
        <is>
          <t>待确认</t>
        </is>
      </c>
      <c r="P326" s="20" t="str"/>
    </row>
    <row r="327">
      <c r="A327" s="20" t="n">
        <v>324</v>
      </c>
      <c r="B327" s="20" t="str"/>
      <c r="C327" s="20" t="str"/>
      <c r="D327" s="20" t="str"/>
      <c r="E327" s="20" t="str"/>
      <c r="F327" s="20" t="str"/>
      <c r="G327" s="20" t="str"/>
      <c r="H327" s="20" t="str"/>
      <c r="I327" s="20" t="str"/>
      <c r="J327" s="20" t="str"/>
      <c r="K327" s="20" t="str"/>
      <c r="L327" s="20" t="inlineStr">
        <is>
          <t>待确认</t>
        </is>
      </c>
      <c r="M327" s="20" t="str"/>
      <c r="N327" s="20" t="inlineStr">
        <is>
          <t>PENDING</t>
        </is>
      </c>
      <c r="O327" s="20" t="inlineStr">
        <is>
          <t>待确认</t>
        </is>
      </c>
      <c r="P327" s="20" t="str"/>
    </row>
    <row r="328">
      <c r="A328" s="20" t="n">
        <v>325</v>
      </c>
      <c r="B328" s="20" t="str"/>
      <c r="C328" s="20" t="str"/>
      <c r="D328" s="20" t="str"/>
      <c r="E328" s="20" t="str"/>
      <c r="F328" s="20" t="str"/>
      <c r="G328" s="20" t="str"/>
      <c r="H328" s="20" t="str"/>
      <c r="I328" s="20" t="str"/>
      <c r="J328" s="20" t="str"/>
      <c r="K328" s="20" t="str"/>
      <c r="L328" s="20" t="inlineStr">
        <is>
          <t>待确认</t>
        </is>
      </c>
      <c r="M328" s="20" t="str"/>
      <c r="N328" s="20" t="inlineStr">
        <is>
          <t>PENDING</t>
        </is>
      </c>
      <c r="O328" s="20" t="inlineStr">
        <is>
          <t>待确认</t>
        </is>
      </c>
      <c r="P328" s="20" t="str"/>
    </row>
    <row r="329">
      <c r="A329" s="20" t="n">
        <v>326</v>
      </c>
      <c r="B329" s="20" t="str"/>
      <c r="C329" s="20" t="str"/>
      <c r="D329" s="20" t="str"/>
      <c r="E329" s="20" t="str"/>
      <c r="F329" s="20" t="str"/>
      <c r="G329" s="20" t="str"/>
      <c r="H329" s="20" t="str"/>
      <c r="I329" s="20" t="str"/>
      <c r="J329" s="20" t="str"/>
      <c r="K329" s="20" t="str"/>
      <c r="L329" s="20" t="inlineStr">
        <is>
          <t>待确认</t>
        </is>
      </c>
      <c r="M329" s="20" t="str"/>
      <c r="N329" s="20" t="inlineStr">
        <is>
          <t>PENDING</t>
        </is>
      </c>
      <c r="O329" s="20" t="inlineStr">
        <is>
          <t>待确认</t>
        </is>
      </c>
      <c r="P329" s="20" t="str"/>
    </row>
    <row r="330">
      <c r="A330" s="20" t="n">
        <v>327</v>
      </c>
      <c r="B330" s="20" t="str"/>
      <c r="C330" s="20" t="str"/>
      <c r="D330" s="20" t="str"/>
      <c r="E330" s="20" t="str"/>
      <c r="F330" s="20" t="str"/>
      <c r="G330" s="20" t="str"/>
      <c r="H330" s="20" t="str"/>
      <c r="I330" s="20" t="str"/>
      <c r="J330" s="20" t="str"/>
      <c r="K330" s="20" t="str"/>
      <c r="L330" s="20" t="inlineStr">
        <is>
          <t>待确认</t>
        </is>
      </c>
      <c r="M330" s="20" t="str"/>
      <c r="N330" s="20" t="inlineStr">
        <is>
          <t>PENDING</t>
        </is>
      </c>
      <c r="O330" s="20" t="inlineStr">
        <is>
          <t>待确认</t>
        </is>
      </c>
      <c r="P330" s="20" t="str"/>
    </row>
    <row r="331">
      <c r="A331" s="20" t="n">
        <v>328</v>
      </c>
      <c r="B331" s="20" t="str"/>
      <c r="C331" s="20" t="str"/>
      <c r="D331" s="20" t="str"/>
      <c r="E331" s="20" t="str"/>
      <c r="F331" s="20" t="str"/>
      <c r="G331" s="20" t="str"/>
      <c r="H331" s="20" t="str"/>
      <c r="I331" s="20" t="str"/>
      <c r="J331" s="20" t="str"/>
      <c r="K331" s="20" t="str"/>
      <c r="L331" s="20" t="inlineStr">
        <is>
          <t>待确认</t>
        </is>
      </c>
      <c r="M331" s="20" t="str"/>
      <c r="N331" s="20" t="inlineStr">
        <is>
          <t>PENDING</t>
        </is>
      </c>
      <c r="O331" s="20" t="inlineStr">
        <is>
          <t>待确认</t>
        </is>
      </c>
      <c r="P331" s="20" t="str"/>
    </row>
    <row r="332">
      <c r="A332" s="20" t="n">
        <v>329</v>
      </c>
      <c r="B332" s="20" t="str"/>
      <c r="C332" s="20" t="str"/>
      <c r="D332" s="20" t="str"/>
      <c r="E332" s="20" t="str"/>
      <c r="F332" s="20" t="str"/>
      <c r="G332" s="20" t="str"/>
      <c r="H332" s="20" t="str"/>
      <c r="I332" s="20" t="str"/>
      <c r="J332" s="20" t="str"/>
      <c r="K332" s="20" t="str"/>
      <c r="L332" s="20" t="inlineStr">
        <is>
          <t>待确认</t>
        </is>
      </c>
      <c r="M332" s="20" t="str"/>
      <c r="N332" s="20" t="inlineStr">
        <is>
          <t>PENDING</t>
        </is>
      </c>
      <c r="O332" s="20" t="inlineStr">
        <is>
          <t>待确认</t>
        </is>
      </c>
      <c r="P332" s="20" t="str"/>
    </row>
    <row r="333">
      <c r="A333" s="20" t="n">
        <v>330</v>
      </c>
      <c r="B333" s="20" t="str"/>
      <c r="C333" s="20" t="str"/>
      <c r="D333" s="20" t="str"/>
      <c r="E333" s="20" t="str"/>
      <c r="F333" s="20" t="str"/>
      <c r="G333" s="20" t="str"/>
      <c r="H333" s="20" t="str"/>
      <c r="I333" s="20" t="str"/>
      <c r="J333" s="20" t="str"/>
      <c r="K333" s="20" t="str"/>
      <c r="L333" s="20" t="inlineStr">
        <is>
          <t>待确认</t>
        </is>
      </c>
      <c r="M333" s="20" t="str"/>
      <c r="N333" s="20" t="inlineStr">
        <is>
          <t>PENDING</t>
        </is>
      </c>
      <c r="O333" s="20" t="inlineStr">
        <is>
          <t>待确认</t>
        </is>
      </c>
      <c r="P333" s="20" t="str"/>
    </row>
    <row r="334">
      <c r="A334" s="20" t="n">
        <v>331</v>
      </c>
      <c r="B334" s="20" t="str"/>
      <c r="C334" s="20" t="str"/>
      <c r="D334" s="20" t="str"/>
      <c r="E334" s="20" t="str"/>
      <c r="F334" s="20" t="str"/>
      <c r="G334" s="20" t="str"/>
      <c r="H334" s="20" t="str"/>
      <c r="I334" s="20" t="str"/>
      <c r="J334" s="20" t="str"/>
      <c r="K334" s="20" t="str"/>
      <c r="L334" s="20" t="inlineStr">
        <is>
          <t>待确认</t>
        </is>
      </c>
      <c r="M334" s="20" t="str"/>
      <c r="N334" s="20" t="inlineStr">
        <is>
          <t>PENDING</t>
        </is>
      </c>
      <c r="O334" s="20" t="inlineStr">
        <is>
          <t>待确认</t>
        </is>
      </c>
      <c r="P334" s="20" t="str"/>
    </row>
    <row r="335">
      <c r="A335" s="20" t="n">
        <v>332</v>
      </c>
      <c r="B335" s="20" t="str"/>
      <c r="C335" s="20" t="str"/>
      <c r="D335" s="20" t="str"/>
      <c r="E335" s="20" t="str"/>
      <c r="F335" s="20" t="str"/>
      <c r="G335" s="20" t="str"/>
      <c r="H335" s="20" t="str"/>
      <c r="I335" s="20" t="str"/>
      <c r="J335" s="20" t="str"/>
      <c r="K335" s="20" t="str"/>
      <c r="L335" s="20" t="inlineStr">
        <is>
          <t>待确认</t>
        </is>
      </c>
      <c r="M335" s="20" t="str"/>
      <c r="N335" s="20" t="inlineStr">
        <is>
          <t>PENDING</t>
        </is>
      </c>
      <c r="O335" s="20" t="inlineStr">
        <is>
          <t>待确认</t>
        </is>
      </c>
      <c r="P335" s="20" t="str"/>
    </row>
    <row r="336">
      <c r="A336" s="20" t="n">
        <v>333</v>
      </c>
      <c r="B336" s="20" t="str"/>
      <c r="C336" s="20" t="str"/>
      <c r="D336" s="20" t="str"/>
      <c r="E336" s="20" t="str"/>
      <c r="F336" s="20" t="str"/>
      <c r="G336" s="20" t="str"/>
      <c r="H336" s="20" t="str"/>
      <c r="I336" s="20" t="str"/>
      <c r="J336" s="20" t="str"/>
      <c r="K336" s="20" t="str"/>
      <c r="L336" s="20" t="inlineStr">
        <is>
          <t>待确认</t>
        </is>
      </c>
      <c r="M336" s="20" t="str"/>
      <c r="N336" s="20" t="inlineStr">
        <is>
          <t>PENDING</t>
        </is>
      </c>
      <c r="O336" s="20" t="inlineStr">
        <is>
          <t>待确认</t>
        </is>
      </c>
      <c r="P336" s="20" t="str"/>
    </row>
    <row r="337">
      <c r="A337" s="20" t="n">
        <v>334</v>
      </c>
      <c r="B337" s="20" t="str"/>
      <c r="C337" s="20" t="str"/>
      <c r="D337" s="20" t="str"/>
      <c r="E337" s="20" t="str"/>
      <c r="F337" s="20" t="str"/>
      <c r="G337" s="20" t="str"/>
      <c r="H337" s="20" t="str"/>
      <c r="I337" s="20" t="str"/>
      <c r="J337" s="20" t="str"/>
      <c r="K337" s="20" t="str"/>
      <c r="L337" s="20" t="inlineStr">
        <is>
          <t>待确认</t>
        </is>
      </c>
      <c r="M337" s="20" t="str"/>
      <c r="N337" s="20" t="inlineStr">
        <is>
          <t>PENDING</t>
        </is>
      </c>
      <c r="O337" s="20" t="inlineStr">
        <is>
          <t>待确认</t>
        </is>
      </c>
      <c r="P337" s="20" t="str"/>
    </row>
    <row r="338">
      <c r="A338" s="20" t="n">
        <v>335</v>
      </c>
      <c r="B338" s="20" t="str"/>
      <c r="C338" s="20" t="str"/>
      <c r="D338" s="20" t="str"/>
      <c r="E338" s="20" t="str"/>
      <c r="F338" s="20" t="str"/>
      <c r="G338" s="20" t="str"/>
      <c r="H338" s="20" t="str"/>
      <c r="I338" s="20" t="str"/>
      <c r="J338" s="20" t="str"/>
      <c r="K338" s="20" t="str"/>
      <c r="L338" s="20" t="inlineStr">
        <is>
          <t>待确认</t>
        </is>
      </c>
      <c r="M338" s="20" t="str"/>
      <c r="N338" s="20" t="inlineStr">
        <is>
          <t>PENDING</t>
        </is>
      </c>
      <c r="O338" s="20" t="inlineStr">
        <is>
          <t>待确认</t>
        </is>
      </c>
      <c r="P338" s="20" t="str"/>
    </row>
    <row r="339">
      <c r="A339" s="20" t="n">
        <v>336</v>
      </c>
      <c r="B339" s="20" t="str"/>
      <c r="C339" s="20" t="str"/>
      <c r="D339" s="20" t="str"/>
      <c r="E339" s="20" t="str"/>
      <c r="F339" s="20" t="str"/>
      <c r="G339" s="20" t="str"/>
      <c r="H339" s="20" t="str"/>
      <c r="I339" s="20" t="str"/>
      <c r="J339" s="20" t="str"/>
      <c r="K339" s="20" t="str"/>
      <c r="L339" s="20" t="inlineStr">
        <is>
          <t>待确认</t>
        </is>
      </c>
      <c r="M339" s="20" t="str"/>
      <c r="N339" s="20" t="inlineStr">
        <is>
          <t>PENDING</t>
        </is>
      </c>
      <c r="O339" s="20" t="inlineStr">
        <is>
          <t>待确认</t>
        </is>
      </c>
      <c r="P339" s="20" t="str"/>
    </row>
    <row r="340">
      <c r="A340" s="20" t="n">
        <v>337</v>
      </c>
      <c r="B340" s="20" t="str"/>
      <c r="C340" s="20" t="str"/>
      <c r="D340" s="20" t="str"/>
      <c r="E340" s="20" t="str"/>
      <c r="F340" s="20" t="str"/>
      <c r="G340" s="20" t="str"/>
      <c r="H340" s="20" t="str"/>
      <c r="I340" s="20" t="str"/>
      <c r="J340" s="20" t="str"/>
      <c r="K340" s="20" t="str"/>
      <c r="L340" s="20" t="inlineStr">
        <is>
          <t>待确认</t>
        </is>
      </c>
      <c r="M340" s="20" t="str"/>
      <c r="N340" s="20" t="inlineStr">
        <is>
          <t>PENDING</t>
        </is>
      </c>
      <c r="O340" s="20" t="inlineStr">
        <is>
          <t>待确认</t>
        </is>
      </c>
      <c r="P340" s="20" t="str"/>
    </row>
    <row r="341">
      <c r="A341" s="20" t="n">
        <v>338</v>
      </c>
      <c r="B341" s="20" t="str"/>
      <c r="C341" s="20" t="str"/>
      <c r="D341" s="20" t="str"/>
      <c r="E341" s="20" t="str"/>
      <c r="F341" s="20" t="str"/>
      <c r="G341" s="20" t="str"/>
      <c r="H341" s="20" t="str"/>
      <c r="I341" s="20" t="str"/>
      <c r="J341" s="20" t="str"/>
      <c r="K341" s="20" t="str"/>
      <c r="L341" s="20" t="inlineStr">
        <is>
          <t>待确认</t>
        </is>
      </c>
      <c r="M341" s="20" t="str"/>
      <c r="N341" s="20" t="inlineStr">
        <is>
          <t>PENDING</t>
        </is>
      </c>
      <c r="O341" s="20" t="inlineStr">
        <is>
          <t>待确认</t>
        </is>
      </c>
      <c r="P341" s="20" t="str"/>
    </row>
    <row r="342">
      <c r="A342" s="20" t="n">
        <v>339</v>
      </c>
      <c r="B342" s="20" t="str"/>
      <c r="C342" s="20" t="str"/>
      <c r="D342" s="20" t="str"/>
      <c r="E342" s="20" t="str"/>
      <c r="F342" s="20" t="str"/>
      <c r="G342" s="20" t="str"/>
      <c r="H342" s="20" t="str"/>
      <c r="I342" s="20" t="str"/>
      <c r="J342" s="20" t="str"/>
      <c r="K342" s="20" t="str"/>
      <c r="L342" s="20" t="inlineStr">
        <is>
          <t>待确认</t>
        </is>
      </c>
      <c r="M342" s="20" t="str"/>
      <c r="N342" s="20" t="inlineStr">
        <is>
          <t>PENDING</t>
        </is>
      </c>
      <c r="O342" s="20" t="inlineStr">
        <is>
          <t>待确认</t>
        </is>
      </c>
      <c r="P342" s="20" t="str"/>
    </row>
    <row r="343">
      <c r="A343" s="20" t="n">
        <v>340</v>
      </c>
      <c r="B343" s="20" t="str"/>
      <c r="C343" s="20" t="str"/>
      <c r="D343" s="20" t="str"/>
      <c r="E343" s="20" t="str"/>
      <c r="F343" s="20" t="str"/>
      <c r="G343" s="20" t="str"/>
      <c r="H343" s="20" t="str"/>
      <c r="I343" s="20" t="str"/>
      <c r="J343" s="20" t="str"/>
      <c r="K343" s="20" t="str"/>
      <c r="L343" s="20" t="inlineStr">
        <is>
          <t>待确认</t>
        </is>
      </c>
      <c r="M343" s="20" t="str"/>
      <c r="N343" s="20" t="inlineStr">
        <is>
          <t>PENDING</t>
        </is>
      </c>
      <c r="O343" s="20" t="inlineStr">
        <is>
          <t>待确认</t>
        </is>
      </c>
      <c r="P343" s="20" t="str"/>
    </row>
    <row r="344">
      <c r="A344" s="20" t="n">
        <v>341</v>
      </c>
      <c r="B344" s="20" t="str"/>
      <c r="C344" s="20" t="str"/>
      <c r="D344" s="20" t="str"/>
      <c r="E344" s="20" t="str"/>
      <c r="F344" s="20" t="str"/>
      <c r="G344" s="20" t="str"/>
      <c r="H344" s="20" t="str"/>
      <c r="I344" s="20" t="str"/>
      <c r="J344" s="20" t="str"/>
      <c r="K344" s="20" t="str"/>
      <c r="L344" s="20" t="inlineStr">
        <is>
          <t>待确认</t>
        </is>
      </c>
      <c r="M344" s="20" t="str"/>
      <c r="N344" s="20" t="inlineStr">
        <is>
          <t>PENDING</t>
        </is>
      </c>
      <c r="O344" s="20" t="inlineStr">
        <is>
          <t>待确认</t>
        </is>
      </c>
      <c r="P344" s="20" t="str"/>
    </row>
    <row r="345">
      <c r="A345" s="20" t="n">
        <v>342</v>
      </c>
      <c r="B345" s="20" t="str"/>
      <c r="C345" s="20" t="str"/>
      <c r="D345" s="20" t="str"/>
      <c r="E345" s="20" t="str"/>
      <c r="F345" s="20" t="str"/>
      <c r="G345" s="20" t="str"/>
      <c r="H345" s="20" t="str"/>
      <c r="I345" s="20" t="str"/>
      <c r="J345" s="20" t="str"/>
      <c r="K345" s="20" t="str"/>
      <c r="L345" s="20" t="inlineStr">
        <is>
          <t>待确认</t>
        </is>
      </c>
      <c r="M345" s="20" t="str"/>
      <c r="N345" s="20" t="inlineStr">
        <is>
          <t>PENDING</t>
        </is>
      </c>
      <c r="O345" s="20" t="inlineStr">
        <is>
          <t>待确认</t>
        </is>
      </c>
      <c r="P345" s="20" t="str"/>
    </row>
    <row r="346">
      <c r="A346" s="20" t="n">
        <v>343</v>
      </c>
      <c r="B346" s="20" t="str"/>
      <c r="C346" s="20" t="str"/>
      <c r="D346" s="20" t="str"/>
      <c r="E346" s="20" t="str"/>
      <c r="F346" s="20" t="str"/>
      <c r="G346" s="20" t="str"/>
      <c r="H346" s="20" t="str"/>
      <c r="I346" s="20" t="str"/>
      <c r="J346" s="20" t="str"/>
      <c r="K346" s="20" t="str"/>
      <c r="L346" s="20" t="inlineStr">
        <is>
          <t>待确认</t>
        </is>
      </c>
      <c r="M346" s="20" t="str"/>
      <c r="N346" s="20" t="inlineStr">
        <is>
          <t>PENDING</t>
        </is>
      </c>
      <c r="O346" s="20" t="inlineStr">
        <is>
          <t>待确认</t>
        </is>
      </c>
      <c r="P346" s="20" t="str"/>
    </row>
    <row r="347">
      <c r="A347" s="20" t="n">
        <v>344</v>
      </c>
      <c r="B347" s="20" t="str"/>
      <c r="C347" s="20" t="str"/>
      <c r="D347" s="20" t="str"/>
      <c r="E347" s="20" t="str"/>
      <c r="F347" s="20" t="str"/>
      <c r="G347" s="20" t="str"/>
      <c r="H347" s="20" t="str"/>
      <c r="I347" s="20" t="str"/>
      <c r="J347" s="20" t="str"/>
      <c r="K347" s="20" t="str"/>
      <c r="L347" s="20" t="inlineStr">
        <is>
          <t>待确认</t>
        </is>
      </c>
      <c r="M347" s="20" t="str"/>
      <c r="N347" s="20" t="inlineStr">
        <is>
          <t>PENDING</t>
        </is>
      </c>
      <c r="O347" s="20" t="inlineStr">
        <is>
          <t>待确认</t>
        </is>
      </c>
      <c r="P347" s="20" t="str"/>
    </row>
    <row r="348">
      <c r="A348" s="20" t="n">
        <v>345</v>
      </c>
      <c r="B348" s="20" t="str"/>
      <c r="C348" s="20" t="str"/>
      <c r="D348" s="20" t="str"/>
      <c r="E348" s="20" t="str"/>
      <c r="F348" s="20" t="str"/>
      <c r="G348" s="20" t="str"/>
      <c r="H348" s="20" t="str"/>
      <c r="I348" s="20" t="str"/>
      <c r="J348" s="20" t="str"/>
      <c r="K348" s="20" t="str"/>
      <c r="L348" s="20" t="inlineStr">
        <is>
          <t>待确认</t>
        </is>
      </c>
      <c r="M348" s="20" t="str"/>
      <c r="N348" s="20" t="inlineStr">
        <is>
          <t>PENDING</t>
        </is>
      </c>
      <c r="O348" s="20" t="inlineStr">
        <is>
          <t>待确认</t>
        </is>
      </c>
      <c r="P348" s="20" t="str"/>
    </row>
    <row r="349">
      <c r="A349" s="20" t="n">
        <v>346</v>
      </c>
      <c r="B349" s="20" t="str"/>
      <c r="C349" s="20" t="str"/>
      <c r="D349" s="20" t="str"/>
      <c r="E349" s="20" t="str"/>
      <c r="F349" s="20" t="str"/>
      <c r="G349" s="20" t="str"/>
      <c r="H349" s="20" t="str"/>
      <c r="I349" s="20" t="str"/>
      <c r="J349" s="20" t="str"/>
      <c r="K349" s="20" t="str"/>
      <c r="L349" s="20" t="inlineStr">
        <is>
          <t>待确认</t>
        </is>
      </c>
      <c r="M349" s="20" t="str"/>
      <c r="N349" s="20" t="inlineStr">
        <is>
          <t>PENDING</t>
        </is>
      </c>
      <c r="O349" s="20" t="inlineStr">
        <is>
          <t>待确认</t>
        </is>
      </c>
      <c r="P349" s="20" t="str"/>
    </row>
    <row r="350">
      <c r="A350" s="20" t="n">
        <v>347</v>
      </c>
      <c r="B350" s="20" t="str"/>
      <c r="C350" s="20" t="str"/>
      <c r="D350" s="20" t="str"/>
      <c r="E350" s="20" t="str"/>
      <c r="F350" s="20" t="str"/>
      <c r="G350" s="20" t="str"/>
      <c r="H350" s="20" t="str"/>
      <c r="I350" s="20" t="str"/>
      <c r="J350" s="20" t="str"/>
      <c r="K350" s="20" t="str"/>
      <c r="L350" s="20" t="inlineStr">
        <is>
          <t>待确认</t>
        </is>
      </c>
      <c r="M350" s="20" t="str"/>
      <c r="N350" s="20" t="inlineStr">
        <is>
          <t>PENDING</t>
        </is>
      </c>
      <c r="O350" s="20" t="inlineStr">
        <is>
          <t>待确认</t>
        </is>
      </c>
      <c r="P350" s="20" t="str"/>
    </row>
    <row r="351">
      <c r="A351" s="20" t="n">
        <v>348</v>
      </c>
      <c r="B351" s="20" t="str"/>
      <c r="C351" s="20" t="str"/>
      <c r="D351" s="20" t="str"/>
      <c r="E351" s="20" t="str"/>
      <c r="F351" s="20" t="str"/>
      <c r="G351" s="20" t="str"/>
      <c r="H351" s="20" t="str"/>
      <c r="I351" s="20" t="str"/>
      <c r="J351" s="20" t="str"/>
      <c r="K351" s="20" t="str"/>
      <c r="L351" s="20" t="inlineStr">
        <is>
          <t>待确认</t>
        </is>
      </c>
      <c r="M351" s="20" t="str"/>
      <c r="N351" s="20" t="inlineStr">
        <is>
          <t>PENDING</t>
        </is>
      </c>
      <c r="O351" s="20" t="inlineStr">
        <is>
          <t>待确认</t>
        </is>
      </c>
      <c r="P351" s="20" t="str"/>
    </row>
    <row r="352">
      <c r="A352" s="20" t="n">
        <v>349</v>
      </c>
      <c r="B352" s="20" t="str"/>
      <c r="C352" s="20" t="str"/>
      <c r="D352" s="20" t="str"/>
      <c r="E352" s="20" t="str"/>
      <c r="F352" s="20" t="str"/>
      <c r="G352" s="20" t="str"/>
      <c r="H352" s="20" t="str"/>
      <c r="I352" s="20" t="str"/>
      <c r="J352" s="20" t="str"/>
      <c r="K352" s="20" t="str"/>
      <c r="L352" s="20" t="inlineStr">
        <is>
          <t>待确认</t>
        </is>
      </c>
      <c r="M352" s="20" t="str"/>
      <c r="N352" s="20" t="inlineStr">
        <is>
          <t>PENDING</t>
        </is>
      </c>
      <c r="O352" s="20" t="inlineStr">
        <is>
          <t>待确认</t>
        </is>
      </c>
      <c r="P352" s="20" t="str"/>
    </row>
    <row r="353">
      <c r="A353" s="20" t="n">
        <v>350</v>
      </c>
      <c r="B353" s="20" t="str"/>
      <c r="C353" s="20" t="str"/>
      <c r="D353" s="20" t="str"/>
      <c r="E353" s="20" t="str"/>
      <c r="F353" s="20" t="str"/>
      <c r="G353" s="20" t="str"/>
      <c r="H353" s="20" t="str"/>
      <c r="I353" s="20" t="str"/>
      <c r="J353" s="20" t="str"/>
      <c r="K353" s="20" t="str"/>
      <c r="L353" s="20" t="inlineStr">
        <is>
          <t>待确认</t>
        </is>
      </c>
      <c r="M353" s="20" t="str"/>
      <c r="N353" s="20" t="inlineStr">
        <is>
          <t>PENDING</t>
        </is>
      </c>
      <c r="O353" s="20" t="inlineStr">
        <is>
          <t>待确认</t>
        </is>
      </c>
      <c r="P353" s="20" t="str"/>
    </row>
    <row r="354">
      <c r="A354" s="20" t="n">
        <v>351</v>
      </c>
      <c r="B354" s="20" t="str"/>
      <c r="C354" s="20" t="str"/>
      <c r="D354" s="20" t="str"/>
      <c r="E354" s="20" t="str"/>
      <c r="F354" s="20" t="str"/>
      <c r="G354" s="20" t="str"/>
      <c r="H354" s="20" t="str"/>
      <c r="I354" s="20" t="str"/>
      <c r="J354" s="20" t="str"/>
      <c r="K354" s="20" t="str"/>
      <c r="L354" s="20" t="inlineStr">
        <is>
          <t>待确认</t>
        </is>
      </c>
      <c r="M354" s="20" t="str"/>
      <c r="N354" s="20" t="inlineStr">
        <is>
          <t>PENDING</t>
        </is>
      </c>
      <c r="O354" s="20" t="inlineStr">
        <is>
          <t>待确认</t>
        </is>
      </c>
      <c r="P354" s="20" t="str"/>
    </row>
    <row r="355">
      <c r="A355" s="20" t="n">
        <v>352</v>
      </c>
      <c r="B355" s="20" t="str"/>
      <c r="C355" s="20" t="str"/>
      <c r="D355" s="20" t="str"/>
      <c r="E355" s="20" t="str"/>
      <c r="F355" s="20" t="str"/>
      <c r="G355" s="20" t="str"/>
      <c r="H355" s="20" t="str"/>
      <c r="I355" s="20" t="str"/>
      <c r="J355" s="20" t="str"/>
      <c r="K355" s="20" t="str"/>
      <c r="L355" s="20" t="inlineStr">
        <is>
          <t>待确认</t>
        </is>
      </c>
      <c r="M355" s="20" t="str"/>
      <c r="N355" s="20" t="inlineStr">
        <is>
          <t>PENDING</t>
        </is>
      </c>
      <c r="O355" s="20" t="inlineStr">
        <is>
          <t>待确认</t>
        </is>
      </c>
      <c r="P355" s="20" t="str"/>
    </row>
    <row r="356">
      <c r="A356" s="20" t="n">
        <v>353</v>
      </c>
      <c r="B356" s="20" t="str"/>
      <c r="C356" s="20" t="str"/>
      <c r="D356" s="20" t="str"/>
      <c r="E356" s="20" t="str"/>
      <c r="F356" s="20" t="str"/>
      <c r="G356" s="20" t="str"/>
      <c r="H356" s="20" t="str"/>
      <c r="I356" s="20" t="str"/>
      <c r="J356" s="20" t="str"/>
      <c r="K356" s="20" t="str"/>
      <c r="L356" s="20" t="inlineStr">
        <is>
          <t>待确认</t>
        </is>
      </c>
      <c r="M356" s="20" t="str"/>
      <c r="N356" s="20" t="inlineStr">
        <is>
          <t>PENDING</t>
        </is>
      </c>
      <c r="O356" s="20" t="inlineStr">
        <is>
          <t>待确认</t>
        </is>
      </c>
      <c r="P356" s="20" t="str"/>
    </row>
    <row r="357">
      <c r="A357" s="20" t="n">
        <v>354</v>
      </c>
      <c r="B357" s="20" t="str"/>
      <c r="C357" s="20" t="str"/>
      <c r="D357" s="20" t="str"/>
      <c r="E357" s="20" t="str"/>
      <c r="F357" s="20" t="str"/>
      <c r="G357" s="20" t="str"/>
      <c r="H357" s="20" t="str"/>
      <c r="I357" s="20" t="str"/>
      <c r="J357" s="20" t="str"/>
      <c r="K357" s="20" t="str"/>
      <c r="L357" s="20" t="inlineStr">
        <is>
          <t>待确认</t>
        </is>
      </c>
      <c r="M357" s="20" t="str"/>
      <c r="N357" s="20" t="inlineStr">
        <is>
          <t>PENDING</t>
        </is>
      </c>
      <c r="O357" s="20" t="inlineStr">
        <is>
          <t>待确认</t>
        </is>
      </c>
      <c r="P357" s="20" t="str"/>
    </row>
    <row r="358">
      <c r="A358" s="20" t="n">
        <v>355</v>
      </c>
      <c r="B358" s="20" t="str"/>
      <c r="C358" s="20" t="str"/>
      <c r="D358" s="20" t="str"/>
      <c r="E358" s="20" t="str"/>
      <c r="F358" s="20" t="str"/>
      <c r="G358" s="20" t="str"/>
      <c r="H358" s="20" t="str"/>
      <c r="I358" s="20" t="str"/>
      <c r="J358" s="20" t="str"/>
      <c r="K358" s="20" t="str"/>
      <c r="L358" s="20" t="inlineStr">
        <is>
          <t>待确认</t>
        </is>
      </c>
      <c r="M358" s="20" t="str"/>
      <c r="N358" s="20" t="inlineStr">
        <is>
          <t>PENDING</t>
        </is>
      </c>
      <c r="O358" s="20" t="inlineStr">
        <is>
          <t>待确认</t>
        </is>
      </c>
      <c r="P358" s="20" t="str"/>
    </row>
    <row r="359">
      <c r="A359" s="20" t="n">
        <v>356</v>
      </c>
      <c r="B359" s="20" t="str"/>
      <c r="C359" s="20" t="str"/>
      <c r="D359" s="20" t="str"/>
      <c r="E359" s="20" t="str"/>
      <c r="F359" s="20" t="str"/>
      <c r="G359" s="20" t="str"/>
      <c r="H359" s="20" t="str"/>
      <c r="I359" s="20" t="str"/>
      <c r="J359" s="20" t="str"/>
      <c r="K359" s="20" t="str"/>
      <c r="L359" s="20" t="inlineStr">
        <is>
          <t>待确认</t>
        </is>
      </c>
      <c r="M359" s="20" t="str"/>
      <c r="N359" s="20" t="inlineStr">
        <is>
          <t>PENDING</t>
        </is>
      </c>
      <c r="O359" s="20" t="inlineStr">
        <is>
          <t>待确认</t>
        </is>
      </c>
      <c r="P359" s="20" t="str"/>
    </row>
    <row r="360">
      <c r="A360" s="20" t="n">
        <v>357</v>
      </c>
      <c r="B360" s="20" t="str"/>
      <c r="C360" s="20" t="str"/>
      <c r="D360" s="20" t="str"/>
      <c r="E360" s="20" t="str"/>
      <c r="F360" s="20" t="str"/>
      <c r="G360" s="20" t="str"/>
      <c r="H360" s="20" t="str"/>
      <c r="I360" s="20" t="str"/>
      <c r="J360" s="20" t="str"/>
      <c r="K360" s="20" t="str"/>
      <c r="L360" s="20" t="inlineStr">
        <is>
          <t>待确认</t>
        </is>
      </c>
      <c r="M360" s="20" t="str"/>
      <c r="N360" s="20" t="inlineStr">
        <is>
          <t>PENDING</t>
        </is>
      </c>
      <c r="O360" s="20" t="inlineStr">
        <is>
          <t>待确认</t>
        </is>
      </c>
      <c r="P360" s="20" t="str"/>
    </row>
    <row r="361">
      <c r="A361" s="20" t="n">
        <v>358</v>
      </c>
      <c r="B361" s="20" t="str"/>
      <c r="C361" s="20" t="str"/>
      <c r="D361" s="20" t="str"/>
      <c r="E361" s="20" t="str"/>
      <c r="F361" s="20" t="str"/>
      <c r="G361" s="20" t="str"/>
      <c r="H361" s="20" t="str"/>
      <c r="I361" s="20" t="str"/>
      <c r="J361" s="20" t="str"/>
      <c r="K361" s="20" t="str"/>
      <c r="L361" s="20" t="inlineStr">
        <is>
          <t>待确认</t>
        </is>
      </c>
      <c r="M361" s="20" t="str"/>
      <c r="N361" s="20" t="inlineStr">
        <is>
          <t>PENDING</t>
        </is>
      </c>
      <c r="O361" s="20" t="inlineStr">
        <is>
          <t>待确认</t>
        </is>
      </c>
      <c r="P361" s="20" t="str"/>
    </row>
    <row r="362">
      <c r="A362" s="20" t="n">
        <v>359</v>
      </c>
      <c r="B362" s="20" t="str"/>
      <c r="C362" s="20" t="str"/>
      <c r="D362" s="20" t="str"/>
      <c r="E362" s="20" t="str"/>
      <c r="F362" s="20" t="str"/>
      <c r="G362" s="20" t="str"/>
      <c r="H362" s="20" t="str"/>
      <c r="I362" s="20" t="str"/>
      <c r="J362" s="20" t="str"/>
      <c r="K362" s="20" t="str"/>
      <c r="L362" s="20" t="inlineStr">
        <is>
          <t>待确认</t>
        </is>
      </c>
      <c r="M362" s="20" t="str"/>
      <c r="N362" s="20" t="inlineStr">
        <is>
          <t>PENDING</t>
        </is>
      </c>
      <c r="O362" s="20" t="inlineStr">
        <is>
          <t>待确认</t>
        </is>
      </c>
      <c r="P362" s="20" t="str"/>
    </row>
    <row r="363">
      <c r="A363" s="20" t="n">
        <v>360</v>
      </c>
      <c r="B363" s="20" t="str"/>
      <c r="C363" s="20" t="str"/>
      <c r="D363" s="20" t="str"/>
      <c r="E363" s="20" t="str"/>
      <c r="F363" s="20" t="str"/>
      <c r="G363" s="20" t="str"/>
      <c r="H363" s="20" t="str"/>
      <c r="I363" s="20" t="str"/>
      <c r="J363" s="20" t="str"/>
      <c r="K363" s="20" t="str"/>
      <c r="L363" s="20" t="inlineStr">
        <is>
          <t>待确认</t>
        </is>
      </c>
      <c r="M363" s="20" t="str"/>
      <c r="N363" s="20" t="inlineStr">
        <is>
          <t>PENDING</t>
        </is>
      </c>
      <c r="O363" s="20" t="inlineStr">
        <is>
          <t>待确认</t>
        </is>
      </c>
      <c r="P363" s="20" t="str"/>
    </row>
    <row r="364">
      <c r="A364" s="20" t="n">
        <v>361</v>
      </c>
      <c r="B364" s="20" t="str"/>
      <c r="C364" s="20" t="str"/>
      <c r="D364" s="20" t="str"/>
      <c r="E364" s="20" t="str"/>
      <c r="F364" s="20" t="str"/>
      <c r="G364" s="20" t="str"/>
      <c r="H364" s="20" t="str"/>
      <c r="I364" s="20" t="str"/>
      <c r="J364" s="20" t="str"/>
      <c r="K364" s="20" t="str"/>
      <c r="L364" s="20" t="inlineStr">
        <is>
          <t>待确认</t>
        </is>
      </c>
      <c r="M364" s="20" t="str"/>
      <c r="N364" s="20" t="inlineStr">
        <is>
          <t>PENDING</t>
        </is>
      </c>
      <c r="O364" s="20" t="inlineStr">
        <is>
          <t>待确认</t>
        </is>
      </c>
      <c r="P364" s="20" t="str"/>
    </row>
    <row r="365">
      <c r="A365" s="20" t="n">
        <v>362</v>
      </c>
      <c r="B365" s="20" t="str"/>
      <c r="C365" s="20" t="str"/>
      <c r="D365" s="20" t="str"/>
      <c r="E365" s="20" t="str"/>
      <c r="F365" s="20" t="str"/>
      <c r="G365" s="20" t="str"/>
      <c r="H365" s="20" t="str"/>
      <c r="I365" s="20" t="str"/>
      <c r="J365" s="20" t="str"/>
      <c r="K365" s="20" t="str"/>
      <c r="L365" s="20" t="inlineStr">
        <is>
          <t>待确认</t>
        </is>
      </c>
      <c r="M365" s="20" t="str"/>
      <c r="N365" s="20" t="inlineStr">
        <is>
          <t>PENDING</t>
        </is>
      </c>
      <c r="O365" s="20" t="inlineStr">
        <is>
          <t>待确认</t>
        </is>
      </c>
      <c r="P365" s="20" t="str"/>
    </row>
    <row r="366">
      <c r="A366" s="20" t="n">
        <v>363</v>
      </c>
      <c r="B366" s="20" t="str"/>
      <c r="C366" s="20" t="str"/>
      <c r="D366" s="20" t="str"/>
      <c r="E366" s="20" t="str"/>
      <c r="F366" s="20" t="str"/>
      <c r="G366" s="20" t="str"/>
      <c r="H366" s="20" t="str"/>
      <c r="I366" s="20" t="str"/>
      <c r="J366" s="20" t="str"/>
      <c r="K366" s="20" t="str"/>
      <c r="L366" s="20" t="inlineStr">
        <is>
          <t>待确认</t>
        </is>
      </c>
      <c r="M366" s="20" t="str"/>
      <c r="N366" s="20" t="inlineStr">
        <is>
          <t>PENDING</t>
        </is>
      </c>
      <c r="O366" s="20" t="inlineStr">
        <is>
          <t>待确认</t>
        </is>
      </c>
      <c r="P366" s="20" t="str"/>
    </row>
    <row r="367">
      <c r="A367" s="20" t="n">
        <v>364</v>
      </c>
      <c r="B367" s="20" t="str"/>
      <c r="C367" s="20" t="str"/>
      <c r="D367" s="20" t="str"/>
      <c r="E367" s="20" t="str"/>
      <c r="F367" s="20" t="str"/>
      <c r="G367" s="20" t="str"/>
      <c r="H367" s="20" t="str"/>
      <c r="I367" s="20" t="str"/>
      <c r="J367" s="20" t="str"/>
      <c r="K367" s="20" t="str"/>
      <c r="L367" s="20" t="inlineStr">
        <is>
          <t>待确认</t>
        </is>
      </c>
      <c r="M367" s="20" t="str"/>
      <c r="N367" s="20" t="inlineStr">
        <is>
          <t>PENDING</t>
        </is>
      </c>
      <c r="O367" s="20" t="inlineStr">
        <is>
          <t>待确认</t>
        </is>
      </c>
      <c r="P367" s="20" t="str"/>
    </row>
    <row r="368">
      <c r="A368" s="20" t="n">
        <v>365</v>
      </c>
      <c r="B368" s="20" t="str"/>
      <c r="C368" s="20" t="str"/>
      <c r="D368" s="20" t="str"/>
      <c r="E368" s="20" t="str"/>
      <c r="F368" s="20" t="str"/>
      <c r="G368" s="20" t="str"/>
      <c r="H368" s="20" t="str"/>
      <c r="I368" s="20" t="str"/>
      <c r="J368" s="20" t="str"/>
      <c r="K368" s="20" t="str"/>
      <c r="L368" s="20" t="inlineStr">
        <is>
          <t>待确认</t>
        </is>
      </c>
      <c r="M368" s="20" t="str"/>
      <c r="N368" s="20" t="inlineStr">
        <is>
          <t>PENDING</t>
        </is>
      </c>
      <c r="O368" s="20" t="inlineStr">
        <is>
          <t>待确认</t>
        </is>
      </c>
      <c r="P368" s="20" t="str"/>
    </row>
    <row r="369">
      <c r="A369" s="20" t="n">
        <v>366</v>
      </c>
      <c r="B369" s="20" t="str"/>
      <c r="C369" s="20" t="str"/>
      <c r="D369" s="20" t="str"/>
      <c r="E369" s="20" t="str"/>
      <c r="F369" s="20" t="str"/>
      <c r="G369" s="20" t="str"/>
      <c r="H369" s="20" t="str"/>
      <c r="I369" s="20" t="str"/>
      <c r="J369" s="20" t="str"/>
      <c r="K369" s="20" t="str"/>
      <c r="L369" s="20" t="inlineStr">
        <is>
          <t>待确认</t>
        </is>
      </c>
      <c r="M369" s="20" t="str"/>
      <c r="N369" s="20" t="inlineStr">
        <is>
          <t>PENDING</t>
        </is>
      </c>
      <c r="O369" s="20" t="inlineStr">
        <is>
          <t>待确认</t>
        </is>
      </c>
      <c r="P369" s="20" t="str"/>
    </row>
    <row r="370">
      <c r="A370" s="20" t="n">
        <v>367</v>
      </c>
      <c r="B370" s="20" t="str"/>
      <c r="C370" s="20" t="str"/>
      <c r="D370" s="20" t="str"/>
      <c r="E370" s="20" t="str"/>
      <c r="F370" s="20" t="str"/>
      <c r="G370" s="20" t="str"/>
      <c r="H370" s="20" t="str"/>
      <c r="I370" s="20" t="str"/>
      <c r="J370" s="20" t="str"/>
      <c r="K370" s="20" t="str"/>
      <c r="L370" s="20" t="inlineStr">
        <is>
          <t>待确认</t>
        </is>
      </c>
      <c r="M370" s="20" t="str"/>
      <c r="N370" s="20" t="inlineStr">
        <is>
          <t>PENDING</t>
        </is>
      </c>
      <c r="O370" s="20" t="inlineStr">
        <is>
          <t>待确认</t>
        </is>
      </c>
      <c r="P370" s="20" t="str"/>
    </row>
    <row r="371">
      <c r="A371" s="20" t="n">
        <v>368</v>
      </c>
      <c r="B371" s="20" t="str"/>
      <c r="C371" s="20" t="str"/>
      <c r="D371" s="20" t="str"/>
      <c r="E371" s="20" t="str"/>
      <c r="F371" s="20" t="str"/>
      <c r="G371" s="20" t="str"/>
      <c r="H371" s="20" t="str"/>
      <c r="I371" s="20" t="str"/>
      <c r="J371" s="20" t="str"/>
      <c r="K371" s="20" t="str"/>
      <c r="L371" s="20" t="inlineStr">
        <is>
          <t>待确认</t>
        </is>
      </c>
      <c r="M371" s="20" t="str"/>
      <c r="N371" s="20" t="inlineStr">
        <is>
          <t>PENDING</t>
        </is>
      </c>
      <c r="O371" s="20" t="inlineStr">
        <is>
          <t>待确认</t>
        </is>
      </c>
      <c r="P371" s="20" t="str"/>
    </row>
    <row r="372">
      <c r="A372" s="20" t="n">
        <v>369</v>
      </c>
      <c r="B372" s="20" t="str"/>
      <c r="C372" s="20" t="str"/>
      <c r="D372" s="20" t="str"/>
      <c r="E372" s="20" t="str"/>
      <c r="F372" s="20" t="str"/>
      <c r="G372" s="20" t="str"/>
      <c r="H372" s="20" t="str"/>
      <c r="I372" s="20" t="str"/>
      <c r="J372" s="20" t="str"/>
      <c r="K372" s="20" t="str"/>
      <c r="L372" s="20" t="inlineStr">
        <is>
          <t>待确认</t>
        </is>
      </c>
      <c r="M372" s="20" t="str"/>
      <c r="N372" s="20" t="inlineStr">
        <is>
          <t>PENDING</t>
        </is>
      </c>
      <c r="O372" s="20" t="inlineStr">
        <is>
          <t>待确认</t>
        </is>
      </c>
      <c r="P372" s="20" t="str"/>
    </row>
    <row r="373">
      <c r="A373" s="20" t="n">
        <v>370</v>
      </c>
      <c r="B373" s="20" t="str"/>
      <c r="C373" s="20" t="str"/>
      <c r="D373" s="20" t="str"/>
      <c r="E373" s="20" t="str"/>
      <c r="F373" s="20" t="str"/>
      <c r="G373" s="20" t="str"/>
      <c r="H373" s="20" t="str"/>
      <c r="I373" s="20" t="str"/>
      <c r="J373" s="20" t="str"/>
      <c r="K373" s="20" t="str"/>
      <c r="L373" s="20" t="inlineStr">
        <is>
          <t>待确认</t>
        </is>
      </c>
      <c r="M373" s="20" t="str"/>
      <c r="N373" s="20" t="inlineStr">
        <is>
          <t>PENDING</t>
        </is>
      </c>
      <c r="O373" s="20" t="inlineStr">
        <is>
          <t>待确认</t>
        </is>
      </c>
      <c r="P373" s="20" t="str"/>
    </row>
    <row r="374">
      <c r="A374" s="20" t="n">
        <v>371</v>
      </c>
      <c r="B374" s="20" t="str"/>
      <c r="C374" s="20" t="str"/>
      <c r="D374" s="20" t="str"/>
      <c r="E374" s="20" t="str"/>
      <c r="F374" s="20" t="str"/>
      <c r="G374" s="20" t="str"/>
      <c r="H374" s="20" t="str"/>
      <c r="I374" s="20" t="str"/>
      <c r="J374" s="20" t="str"/>
      <c r="K374" s="20" t="str"/>
      <c r="L374" s="20" t="inlineStr">
        <is>
          <t>待确认</t>
        </is>
      </c>
      <c r="M374" s="20" t="str"/>
      <c r="N374" s="20" t="inlineStr">
        <is>
          <t>PENDING</t>
        </is>
      </c>
      <c r="O374" s="20" t="inlineStr">
        <is>
          <t>待确认</t>
        </is>
      </c>
      <c r="P374" s="20" t="str"/>
    </row>
    <row r="375">
      <c r="A375" s="20" t="n">
        <v>372</v>
      </c>
      <c r="B375" s="20" t="str"/>
      <c r="C375" s="20" t="str"/>
      <c r="D375" s="20" t="str"/>
      <c r="E375" s="20" t="str"/>
      <c r="F375" s="20" t="str"/>
      <c r="G375" s="20" t="str"/>
      <c r="H375" s="20" t="str"/>
      <c r="I375" s="20" t="str"/>
      <c r="J375" s="20" t="str"/>
      <c r="K375" s="20" t="str"/>
      <c r="L375" s="20" t="inlineStr">
        <is>
          <t>待确认</t>
        </is>
      </c>
      <c r="M375" s="20" t="str"/>
      <c r="N375" s="20" t="inlineStr">
        <is>
          <t>PENDING</t>
        </is>
      </c>
      <c r="O375" s="20" t="inlineStr">
        <is>
          <t>待确认</t>
        </is>
      </c>
      <c r="P375" s="20" t="str"/>
    </row>
    <row r="376">
      <c r="A376" s="20" t="n">
        <v>373</v>
      </c>
      <c r="B376" s="20" t="str"/>
      <c r="C376" s="20" t="str"/>
      <c r="D376" s="20" t="str"/>
      <c r="E376" s="20" t="str"/>
      <c r="F376" s="20" t="str"/>
      <c r="G376" s="20" t="str"/>
      <c r="H376" s="20" t="str"/>
      <c r="I376" s="20" t="str"/>
      <c r="J376" s="20" t="str"/>
      <c r="K376" s="20" t="str"/>
      <c r="L376" s="20" t="inlineStr">
        <is>
          <t>待确认</t>
        </is>
      </c>
      <c r="M376" s="20" t="str"/>
      <c r="N376" s="20" t="inlineStr">
        <is>
          <t>PENDING</t>
        </is>
      </c>
      <c r="O376" s="20" t="inlineStr">
        <is>
          <t>待确认</t>
        </is>
      </c>
      <c r="P376" s="20" t="str"/>
    </row>
    <row r="377">
      <c r="A377" s="20" t="n">
        <v>374</v>
      </c>
      <c r="B377" s="20" t="str"/>
      <c r="C377" s="20" t="str"/>
      <c r="D377" s="20" t="str"/>
      <c r="E377" s="20" t="str"/>
      <c r="F377" s="20" t="str"/>
      <c r="G377" s="20" t="str"/>
      <c r="H377" s="20" t="str"/>
      <c r="I377" s="20" t="str"/>
      <c r="J377" s="20" t="str"/>
      <c r="K377" s="20" t="str"/>
      <c r="L377" s="20" t="inlineStr">
        <is>
          <t>待确认</t>
        </is>
      </c>
      <c r="M377" s="20" t="str"/>
      <c r="N377" s="20" t="inlineStr">
        <is>
          <t>PENDING</t>
        </is>
      </c>
      <c r="O377" s="20" t="inlineStr">
        <is>
          <t>待确认</t>
        </is>
      </c>
      <c r="P377" s="20" t="str"/>
    </row>
    <row r="378">
      <c r="A378" s="20" t="n">
        <v>375</v>
      </c>
      <c r="B378" s="20" t="str"/>
      <c r="C378" s="20" t="str"/>
      <c r="D378" s="20" t="str"/>
      <c r="E378" s="20" t="str"/>
      <c r="F378" s="20" t="str"/>
      <c r="G378" s="20" t="str"/>
      <c r="H378" s="20" t="str"/>
      <c r="I378" s="20" t="str"/>
      <c r="J378" s="20" t="str"/>
      <c r="K378" s="20" t="str"/>
      <c r="L378" s="20" t="inlineStr">
        <is>
          <t>待确认</t>
        </is>
      </c>
      <c r="M378" s="20" t="str"/>
      <c r="N378" s="20" t="inlineStr">
        <is>
          <t>PENDING</t>
        </is>
      </c>
      <c r="O378" s="20" t="inlineStr">
        <is>
          <t>待确认</t>
        </is>
      </c>
      <c r="P378" s="20" t="str"/>
    </row>
    <row r="379">
      <c r="A379" s="20" t="n">
        <v>376</v>
      </c>
      <c r="B379" s="20" t="str"/>
      <c r="C379" s="20" t="str"/>
      <c r="D379" s="20" t="str"/>
      <c r="E379" s="20" t="str"/>
      <c r="F379" s="20" t="str"/>
      <c r="G379" s="20" t="str"/>
      <c r="H379" s="20" t="str"/>
      <c r="I379" s="20" t="str"/>
      <c r="J379" s="20" t="str"/>
      <c r="K379" s="20" t="str"/>
      <c r="L379" s="20" t="inlineStr">
        <is>
          <t>待确认</t>
        </is>
      </c>
      <c r="M379" s="20" t="str"/>
      <c r="N379" s="20" t="inlineStr">
        <is>
          <t>PENDING</t>
        </is>
      </c>
      <c r="O379" s="20" t="inlineStr">
        <is>
          <t>待确认</t>
        </is>
      </c>
      <c r="P379" s="20" t="str"/>
    </row>
    <row r="380">
      <c r="A380" s="20" t="n">
        <v>377</v>
      </c>
      <c r="B380" s="20" t="str"/>
      <c r="C380" s="20" t="str"/>
      <c r="D380" s="20" t="str"/>
      <c r="E380" s="20" t="str"/>
      <c r="F380" s="20" t="str"/>
      <c r="G380" s="20" t="str"/>
      <c r="H380" s="20" t="str"/>
      <c r="I380" s="20" t="str"/>
      <c r="J380" s="20" t="str"/>
      <c r="K380" s="20" t="str"/>
      <c r="L380" s="20" t="inlineStr">
        <is>
          <t>待确认</t>
        </is>
      </c>
      <c r="M380" s="20" t="str"/>
      <c r="N380" s="20" t="inlineStr">
        <is>
          <t>PENDING</t>
        </is>
      </c>
      <c r="O380" s="20" t="inlineStr">
        <is>
          <t>待确认</t>
        </is>
      </c>
      <c r="P380" s="20" t="str"/>
    </row>
    <row r="381">
      <c r="A381" s="20" t="n">
        <v>378</v>
      </c>
      <c r="B381" s="20" t="str"/>
      <c r="C381" s="20" t="str"/>
      <c r="D381" s="20" t="str"/>
      <c r="E381" s="20" t="str"/>
      <c r="F381" s="20" t="str"/>
      <c r="G381" s="20" t="str"/>
      <c r="H381" s="20" t="str"/>
      <c r="I381" s="20" t="str"/>
      <c r="J381" s="20" t="str"/>
      <c r="K381" s="20" t="str"/>
      <c r="L381" s="20" t="inlineStr">
        <is>
          <t>待确认</t>
        </is>
      </c>
      <c r="M381" s="20" t="str"/>
      <c r="N381" s="20" t="inlineStr">
        <is>
          <t>PENDING</t>
        </is>
      </c>
      <c r="O381" s="20" t="inlineStr">
        <is>
          <t>待确认</t>
        </is>
      </c>
      <c r="P381" s="20" t="str"/>
    </row>
    <row r="382">
      <c r="A382" s="20" t="n">
        <v>379</v>
      </c>
      <c r="B382" s="20" t="str"/>
      <c r="C382" s="20" t="str"/>
      <c r="D382" s="20" t="str"/>
      <c r="E382" s="20" t="str"/>
      <c r="F382" s="20" t="str"/>
      <c r="G382" s="20" t="str"/>
      <c r="H382" s="20" t="str"/>
      <c r="I382" s="20" t="str"/>
      <c r="J382" s="20" t="str"/>
      <c r="K382" s="20" t="str"/>
      <c r="L382" s="20" t="inlineStr">
        <is>
          <t>待确认</t>
        </is>
      </c>
      <c r="M382" s="20" t="str"/>
      <c r="N382" s="20" t="inlineStr">
        <is>
          <t>PENDING</t>
        </is>
      </c>
      <c r="O382" s="20" t="inlineStr">
        <is>
          <t>待确认</t>
        </is>
      </c>
      <c r="P382" s="20" t="str"/>
    </row>
    <row r="383">
      <c r="A383" s="20" t="n">
        <v>380</v>
      </c>
      <c r="B383" s="20" t="str"/>
      <c r="C383" s="20" t="str"/>
      <c r="D383" s="20" t="str"/>
      <c r="E383" s="20" t="str"/>
      <c r="F383" s="20" t="str"/>
      <c r="G383" s="20" t="str"/>
      <c r="H383" s="20" t="str"/>
      <c r="I383" s="20" t="str"/>
      <c r="J383" s="20" t="str"/>
      <c r="K383" s="20" t="str"/>
      <c r="L383" s="20" t="inlineStr">
        <is>
          <t>待确认</t>
        </is>
      </c>
      <c r="M383" s="20" t="str"/>
      <c r="N383" s="20" t="inlineStr">
        <is>
          <t>PENDING</t>
        </is>
      </c>
      <c r="O383" s="20" t="inlineStr">
        <is>
          <t>待确认</t>
        </is>
      </c>
      <c r="P383" s="20" t="str"/>
    </row>
    <row r="384">
      <c r="A384" s="20" t="n">
        <v>381</v>
      </c>
      <c r="B384" s="20" t="str"/>
      <c r="C384" s="20" t="str"/>
      <c r="D384" s="20" t="str"/>
      <c r="E384" s="20" t="str"/>
      <c r="F384" s="20" t="str"/>
      <c r="G384" s="20" t="str"/>
      <c r="H384" s="20" t="str"/>
      <c r="I384" s="20" t="str"/>
      <c r="J384" s="20" t="str"/>
      <c r="K384" s="20" t="str"/>
      <c r="L384" s="20" t="inlineStr">
        <is>
          <t>待确认</t>
        </is>
      </c>
      <c r="M384" s="20" t="str"/>
      <c r="N384" s="20" t="inlineStr">
        <is>
          <t>PENDING</t>
        </is>
      </c>
      <c r="O384" s="20" t="inlineStr">
        <is>
          <t>待确认</t>
        </is>
      </c>
      <c r="P384" s="20" t="str"/>
    </row>
    <row r="385">
      <c r="A385" s="20" t="n">
        <v>382</v>
      </c>
      <c r="B385" s="20" t="str"/>
      <c r="C385" s="20" t="str"/>
      <c r="D385" s="20" t="str"/>
      <c r="E385" s="20" t="str"/>
      <c r="F385" s="20" t="str"/>
      <c r="G385" s="20" t="str"/>
      <c r="H385" s="20" t="str"/>
      <c r="I385" s="20" t="str"/>
      <c r="J385" s="20" t="str"/>
      <c r="K385" s="20" t="str"/>
      <c r="L385" s="20" t="inlineStr">
        <is>
          <t>待确认</t>
        </is>
      </c>
      <c r="M385" s="20" t="str"/>
      <c r="N385" s="20" t="inlineStr">
        <is>
          <t>PENDING</t>
        </is>
      </c>
      <c r="O385" s="20" t="inlineStr">
        <is>
          <t>待确认</t>
        </is>
      </c>
      <c r="P385" s="20" t="str"/>
    </row>
    <row r="386">
      <c r="A386" s="20" t="n">
        <v>383</v>
      </c>
      <c r="B386" s="20" t="str"/>
      <c r="C386" s="20" t="str"/>
      <c r="D386" s="20" t="str"/>
      <c r="E386" s="20" t="str"/>
      <c r="F386" s="20" t="str"/>
      <c r="G386" s="20" t="str"/>
      <c r="H386" s="20" t="str"/>
      <c r="I386" s="20" t="str"/>
      <c r="J386" s="20" t="str"/>
      <c r="K386" s="20" t="str"/>
      <c r="L386" s="20" t="inlineStr">
        <is>
          <t>待确认</t>
        </is>
      </c>
      <c r="M386" s="20" t="str"/>
      <c r="N386" s="20" t="inlineStr">
        <is>
          <t>PENDING</t>
        </is>
      </c>
      <c r="O386" s="20" t="inlineStr">
        <is>
          <t>待确认</t>
        </is>
      </c>
      <c r="P386" s="20" t="str"/>
    </row>
    <row r="387">
      <c r="A387" s="20" t="n">
        <v>384</v>
      </c>
      <c r="B387" s="20" t="str"/>
      <c r="C387" s="20" t="str"/>
      <c r="D387" s="20" t="str"/>
      <c r="E387" s="20" t="str"/>
      <c r="F387" s="20" t="str"/>
      <c r="G387" s="20" t="str"/>
      <c r="H387" s="20" t="str"/>
      <c r="I387" s="20" t="str"/>
      <c r="J387" s="20" t="str"/>
      <c r="K387" s="20" t="str"/>
      <c r="L387" s="20" t="inlineStr">
        <is>
          <t>待确认</t>
        </is>
      </c>
      <c r="M387" s="20" t="str"/>
      <c r="N387" s="20" t="inlineStr">
        <is>
          <t>PENDING</t>
        </is>
      </c>
      <c r="O387" s="20" t="inlineStr">
        <is>
          <t>待确认</t>
        </is>
      </c>
      <c r="P387" s="20" t="str"/>
    </row>
    <row r="388">
      <c r="A388" s="20" t="n">
        <v>385</v>
      </c>
      <c r="B388" s="20" t="str"/>
      <c r="C388" s="20" t="str"/>
      <c r="D388" s="20" t="str"/>
      <c r="E388" s="20" t="str"/>
      <c r="F388" s="20" t="str"/>
      <c r="G388" s="20" t="str"/>
      <c r="H388" s="20" t="str"/>
      <c r="I388" s="20" t="str"/>
      <c r="J388" s="20" t="str"/>
      <c r="K388" s="20" t="str"/>
      <c r="L388" s="20" t="inlineStr">
        <is>
          <t>待确认</t>
        </is>
      </c>
      <c r="M388" s="20" t="str"/>
      <c r="N388" s="20" t="inlineStr">
        <is>
          <t>PENDING</t>
        </is>
      </c>
      <c r="O388" s="20" t="inlineStr">
        <is>
          <t>待确认</t>
        </is>
      </c>
      <c r="P388" s="20" t="str"/>
    </row>
    <row r="389">
      <c r="A389" s="20" t="n">
        <v>386</v>
      </c>
      <c r="B389" s="20" t="str"/>
      <c r="C389" s="20" t="str"/>
      <c r="D389" s="20" t="str"/>
      <c r="E389" s="20" t="str"/>
      <c r="F389" s="20" t="str"/>
      <c r="G389" s="20" t="str"/>
      <c r="H389" s="20" t="str"/>
      <c r="I389" s="20" t="str"/>
      <c r="J389" s="20" t="str"/>
      <c r="K389" s="20" t="str"/>
      <c r="L389" s="20" t="inlineStr">
        <is>
          <t>待确认</t>
        </is>
      </c>
      <c r="M389" s="20" t="str"/>
      <c r="N389" s="20" t="inlineStr">
        <is>
          <t>PENDING</t>
        </is>
      </c>
      <c r="O389" s="20" t="inlineStr">
        <is>
          <t>待确认</t>
        </is>
      </c>
      <c r="P389" s="20" t="str"/>
    </row>
    <row r="390">
      <c r="A390" s="20" t="n">
        <v>387</v>
      </c>
      <c r="B390" s="20" t="str"/>
      <c r="C390" s="20" t="str"/>
      <c r="D390" s="20" t="str"/>
      <c r="E390" s="20" t="str"/>
      <c r="F390" s="20" t="str"/>
      <c r="G390" s="20" t="str"/>
      <c r="H390" s="20" t="str"/>
      <c r="I390" s="20" t="str"/>
      <c r="J390" s="20" t="str"/>
      <c r="K390" s="20" t="str"/>
      <c r="L390" s="20" t="inlineStr">
        <is>
          <t>待确认</t>
        </is>
      </c>
      <c r="M390" s="20" t="str"/>
      <c r="N390" s="20" t="inlineStr">
        <is>
          <t>PENDING</t>
        </is>
      </c>
      <c r="O390" s="20" t="inlineStr">
        <is>
          <t>待确认</t>
        </is>
      </c>
      <c r="P390" s="20" t="str"/>
    </row>
    <row r="391">
      <c r="A391" s="20" t="n">
        <v>388</v>
      </c>
      <c r="B391" s="20" t="str"/>
      <c r="C391" s="20" t="str"/>
      <c r="D391" s="20" t="str"/>
      <c r="E391" s="20" t="str"/>
      <c r="F391" s="20" t="str"/>
      <c r="G391" s="20" t="str"/>
      <c r="H391" s="20" t="str"/>
      <c r="I391" s="20" t="str"/>
      <c r="J391" s="20" t="str"/>
      <c r="K391" s="20" t="str"/>
      <c r="L391" s="20" t="inlineStr">
        <is>
          <t>待确认</t>
        </is>
      </c>
      <c r="M391" s="20" t="str"/>
      <c r="N391" s="20" t="inlineStr">
        <is>
          <t>PENDING</t>
        </is>
      </c>
      <c r="O391" s="20" t="inlineStr">
        <is>
          <t>待确认</t>
        </is>
      </c>
      <c r="P391" s="20" t="str"/>
    </row>
    <row r="392">
      <c r="A392" s="20" t="n">
        <v>389</v>
      </c>
      <c r="B392" s="20" t="str"/>
      <c r="C392" s="20" t="str"/>
      <c r="D392" s="20" t="str"/>
      <c r="E392" s="20" t="str"/>
      <c r="F392" s="20" t="str"/>
      <c r="G392" s="20" t="str"/>
      <c r="H392" s="20" t="str"/>
      <c r="I392" s="20" t="str"/>
      <c r="J392" s="20" t="str"/>
      <c r="K392" s="20" t="str"/>
      <c r="L392" s="20" t="inlineStr">
        <is>
          <t>待确认</t>
        </is>
      </c>
      <c r="M392" s="20" t="str"/>
      <c r="N392" s="20" t="inlineStr">
        <is>
          <t>PENDING</t>
        </is>
      </c>
      <c r="O392" s="20" t="inlineStr">
        <is>
          <t>待确认</t>
        </is>
      </c>
      <c r="P392" s="20" t="str"/>
    </row>
    <row r="393">
      <c r="A393" s="20" t="n">
        <v>390</v>
      </c>
      <c r="B393" s="20" t="str"/>
      <c r="C393" s="20" t="str"/>
      <c r="D393" s="20" t="str"/>
      <c r="E393" s="20" t="str"/>
      <c r="F393" s="20" t="str"/>
      <c r="G393" s="20" t="str"/>
      <c r="H393" s="20" t="str"/>
      <c r="I393" s="20" t="str"/>
      <c r="J393" s="20" t="str"/>
      <c r="K393" s="20" t="str"/>
      <c r="L393" s="20" t="inlineStr">
        <is>
          <t>待确认</t>
        </is>
      </c>
      <c r="M393" s="20" t="str"/>
      <c r="N393" s="20" t="inlineStr">
        <is>
          <t>PENDING</t>
        </is>
      </c>
      <c r="O393" s="20" t="inlineStr">
        <is>
          <t>待确认</t>
        </is>
      </c>
      <c r="P393" s="20" t="str"/>
    </row>
    <row r="394">
      <c r="A394" s="20" t="n">
        <v>391</v>
      </c>
      <c r="B394" s="20" t="str"/>
      <c r="C394" s="20" t="str"/>
      <c r="D394" s="20" t="str"/>
      <c r="E394" s="20" t="str"/>
      <c r="F394" s="20" t="str"/>
      <c r="G394" s="20" t="str"/>
      <c r="H394" s="20" t="str"/>
      <c r="I394" s="20" t="str"/>
      <c r="J394" s="20" t="str"/>
      <c r="K394" s="20" t="str"/>
      <c r="L394" s="20" t="inlineStr">
        <is>
          <t>待确认</t>
        </is>
      </c>
      <c r="M394" s="20" t="str"/>
      <c r="N394" s="20" t="inlineStr">
        <is>
          <t>PENDING</t>
        </is>
      </c>
      <c r="O394" s="20" t="inlineStr">
        <is>
          <t>待确认</t>
        </is>
      </c>
      <c r="P394" s="20" t="str"/>
    </row>
    <row r="395">
      <c r="A395" s="20" t="n">
        <v>392</v>
      </c>
      <c r="B395" s="20" t="str"/>
      <c r="C395" s="20" t="str"/>
      <c r="D395" s="20" t="str"/>
      <c r="E395" s="20" t="str"/>
      <c r="F395" s="20" t="str"/>
      <c r="G395" s="20" t="str"/>
      <c r="H395" s="20" t="str"/>
      <c r="I395" s="20" t="str"/>
      <c r="J395" s="20" t="str"/>
      <c r="K395" s="20" t="str"/>
      <c r="L395" s="20" t="inlineStr">
        <is>
          <t>待确认</t>
        </is>
      </c>
      <c r="M395" s="20" t="str"/>
      <c r="N395" s="20" t="inlineStr">
        <is>
          <t>PENDING</t>
        </is>
      </c>
      <c r="O395" s="20" t="inlineStr">
        <is>
          <t>待确认</t>
        </is>
      </c>
      <c r="P395" s="20" t="str"/>
    </row>
    <row r="396">
      <c r="A396" s="20" t="n">
        <v>393</v>
      </c>
      <c r="B396" s="20" t="str"/>
      <c r="C396" s="20" t="str"/>
      <c r="D396" s="20" t="str"/>
      <c r="E396" s="20" t="str"/>
      <c r="F396" s="20" t="str"/>
      <c r="G396" s="20" t="str"/>
      <c r="H396" s="20" t="str"/>
      <c r="I396" s="20" t="str"/>
      <c r="J396" s="20" t="str"/>
      <c r="K396" s="20" t="str"/>
      <c r="L396" s="20" t="inlineStr">
        <is>
          <t>待确认</t>
        </is>
      </c>
      <c r="M396" s="20" t="str"/>
      <c r="N396" s="20" t="inlineStr">
        <is>
          <t>PENDING</t>
        </is>
      </c>
      <c r="O396" s="20" t="inlineStr">
        <is>
          <t>待确认</t>
        </is>
      </c>
      <c r="P396" s="20" t="str"/>
    </row>
    <row r="397">
      <c r="A397" s="20" t="n">
        <v>394</v>
      </c>
      <c r="B397" s="20" t="str"/>
      <c r="C397" s="20" t="str"/>
      <c r="D397" s="20" t="str"/>
      <c r="E397" s="20" t="str"/>
      <c r="F397" s="20" t="str"/>
      <c r="G397" s="20" t="str"/>
      <c r="H397" s="20" t="str"/>
      <c r="I397" s="20" t="str"/>
      <c r="J397" s="20" t="str"/>
      <c r="K397" s="20" t="str"/>
      <c r="L397" s="20" t="inlineStr">
        <is>
          <t>待确认</t>
        </is>
      </c>
      <c r="M397" s="20" t="str"/>
      <c r="N397" s="20" t="inlineStr">
        <is>
          <t>PENDING</t>
        </is>
      </c>
      <c r="O397" s="20" t="inlineStr">
        <is>
          <t>待确认</t>
        </is>
      </c>
      <c r="P397" s="20" t="str"/>
    </row>
    <row r="398">
      <c r="A398" s="20" t="n">
        <v>395</v>
      </c>
      <c r="B398" s="20" t="str"/>
      <c r="C398" s="20" t="str"/>
      <c r="D398" s="20" t="str"/>
      <c r="E398" s="20" t="str"/>
      <c r="F398" s="20" t="str"/>
      <c r="G398" s="20" t="str"/>
      <c r="H398" s="20" t="str"/>
      <c r="I398" s="20" t="str"/>
      <c r="J398" s="20" t="str"/>
      <c r="K398" s="20" t="str"/>
      <c r="L398" s="20" t="inlineStr">
        <is>
          <t>待确认</t>
        </is>
      </c>
      <c r="M398" s="20" t="str"/>
      <c r="N398" s="20" t="inlineStr">
        <is>
          <t>PENDING</t>
        </is>
      </c>
      <c r="O398" s="20" t="inlineStr">
        <is>
          <t>待确认</t>
        </is>
      </c>
      <c r="P398" s="20" t="str"/>
    </row>
    <row r="399">
      <c r="A399" s="20" t="n">
        <v>396</v>
      </c>
      <c r="B399" s="20" t="str"/>
      <c r="C399" s="20" t="str"/>
      <c r="D399" s="20" t="str"/>
      <c r="E399" s="20" t="str"/>
      <c r="F399" s="20" t="str"/>
      <c r="G399" s="20" t="str"/>
      <c r="H399" s="20" t="str"/>
      <c r="I399" s="20" t="str"/>
      <c r="J399" s="20" t="str"/>
      <c r="K399" s="20" t="str"/>
      <c r="L399" s="20" t="inlineStr">
        <is>
          <t>待确认</t>
        </is>
      </c>
      <c r="M399" s="20" t="str"/>
      <c r="N399" s="20" t="inlineStr">
        <is>
          <t>PENDING</t>
        </is>
      </c>
      <c r="O399" s="20" t="inlineStr">
        <is>
          <t>待确认</t>
        </is>
      </c>
      <c r="P399" s="20" t="str"/>
    </row>
    <row r="400">
      <c r="A400" s="20" t="n">
        <v>397</v>
      </c>
      <c r="B400" s="20" t="str"/>
      <c r="C400" s="20" t="str"/>
      <c r="D400" s="20" t="str"/>
      <c r="E400" s="20" t="str"/>
      <c r="F400" s="20" t="str"/>
      <c r="G400" s="20" t="str"/>
      <c r="H400" s="20" t="str"/>
      <c r="I400" s="20" t="str"/>
      <c r="J400" s="20" t="str"/>
      <c r="K400" s="20" t="str"/>
      <c r="L400" s="20" t="inlineStr">
        <is>
          <t>待确认</t>
        </is>
      </c>
      <c r="M400" s="20" t="str"/>
      <c r="N400" s="20" t="inlineStr">
        <is>
          <t>PENDING</t>
        </is>
      </c>
      <c r="O400" s="20" t="inlineStr">
        <is>
          <t>待确认</t>
        </is>
      </c>
      <c r="P400" s="20" t="str"/>
    </row>
    <row r="401">
      <c r="A401" s="20" t="n">
        <v>398</v>
      </c>
      <c r="B401" s="20" t="str"/>
      <c r="C401" s="20" t="str"/>
      <c r="D401" s="20" t="str"/>
      <c r="E401" s="20" t="str"/>
      <c r="F401" s="20" t="str"/>
      <c r="G401" s="20" t="str"/>
      <c r="H401" s="20" t="str"/>
      <c r="I401" s="20" t="str"/>
      <c r="J401" s="20" t="str"/>
      <c r="K401" s="20" t="str"/>
      <c r="L401" s="20" t="inlineStr">
        <is>
          <t>待确认</t>
        </is>
      </c>
      <c r="M401" s="20" t="str"/>
      <c r="N401" s="20" t="inlineStr">
        <is>
          <t>PENDING</t>
        </is>
      </c>
      <c r="O401" s="20" t="inlineStr">
        <is>
          <t>待确认</t>
        </is>
      </c>
      <c r="P401" s="20" t="str"/>
    </row>
    <row r="402">
      <c r="A402" s="20" t="n">
        <v>399</v>
      </c>
      <c r="B402" s="20" t="str"/>
      <c r="C402" s="20" t="str"/>
      <c r="D402" s="20" t="str"/>
      <c r="E402" s="20" t="str"/>
      <c r="F402" s="20" t="str"/>
      <c r="G402" s="20" t="str"/>
      <c r="H402" s="20" t="str"/>
      <c r="I402" s="20" t="str"/>
      <c r="J402" s="20" t="str"/>
      <c r="K402" s="20" t="str"/>
      <c r="L402" s="20" t="inlineStr">
        <is>
          <t>待确认</t>
        </is>
      </c>
      <c r="M402" s="20" t="str"/>
      <c r="N402" s="20" t="inlineStr">
        <is>
          <t>PENDING</t>
        </is>
      </c>
      <c r="O402" s="20" t="inlineStr">
        <is>
          <t>待确认</t>
        </is>
      </c>
      <c r="P402" s="20" t="str"/>
    </row>
    <row r="403">
      <c r="A403" s="20" t="n">
        <v>400</v>
      </c>
      <c r="B403" s="20" t="str"/>
      <c r="C403" s="20" t="str"/>
      <c r="D403" s="20" t="str"/>
      <c r="E403" s="20" t="str"/>
      <c r="F403" s="20" t="str"/>
      <c r="G403" s="20" t="str"/>
      <c r="H403" s="20" t="str"/>
      <c r="I403" s="20" t="str"/>
      <c r="J403" s="20" t="str"/>
      <c r="K403" s="20" t="str"/>
      <c r="L403" s="20" t="inlineStr">
        <is>
          <t>待确认</t>
        </is>
      </c>
      <c r="M403" s="20" t="str"/>
      <c r="N403" s="20" t="inlineStr">
        <is>
          <t>PENDING</t>
        </is>
      </c>
      <c r="O403" s="20" t="inlineStr">
        <is>
          <t>待确认</t>
        </is>
      </c>
      <c r="P403" s="20" t="str"/>
    </row>
    <row r="404">
      <c r="A404" s="20" t="n">
        <v>401</v>
      </c>
      <c r="B404" s="20" t="str"/>
      <c r="C404" s="20" t="str"/>
      <c r="D404" s="20" t="str"/>
      <c r="E404" s="20" t="str"/>
      <c r="F404" s="20" t="str"/>
      <c r="G404" s="20" t="str"/>
      <c r="H404" s="20" t="str"/>
      <c r="I404" s="20" t="str"/>
      <c r="J404" s="20" t="str"/>
      <c r="K404" s="20" t="str"/>
      <c r="L404" s="20" t="inlineStr">
        <is>
          <t>待确认</t>
        </is>
      </c>
      <c r="M404" s="20" t="str"/>
      <c r="N404" s="20" t="inlineStr">
        <is>
          <t>PENDING</t>
        </is>
      </c>
      <c r="O404" s="20" t="inlineStr">
        <is>
          <t>待确认</t>
        </is>
      </c>
      <c r="P404" s="20" t="str"/>
    </row>
    <row r="405">
      <c r="A405" s="20" t="n">
        <v>402</v>
      </c>
      <c r="B405" s="20" t="str"/>
      <c r="C405" s="20" t="str"/>
      <c r="D405" s="20" t="str"/>
      <c r="E405" s="20" t="str"/>
      <c r="F405" s="20" t="str"/>
      <c r="G405" s="20" t="str"/>
      <c r="H405" s="20" t="str"/>
      <c r="I405" s="20" t="str"/>
      <c r="J405" s="20" t="str"/>
      <c r="K405" s="20" t="str"/>
      <c r="L405" s="20" t="inlineStr">
        <is>
          <t>待确认</t>
        </is>
      </c>
      <c r="M405" s="20" t="str"/>
      <c r="N405" s="20" t="inlineStr">
        <is>
          <t>PENDING</t>
        </is>
      </c>
      <c r="O405" s="20" t="inlineStr">
        <is>
          <t>待确认</t>
        </is>
      </c>
      <c r="P405" s="20" t="str"/>
    </row>
    <row r="406">
      <c r="A406" s="20" t="n">
        <v>403</v>
      </c>
      <c r="B406" s="20" t="str"/>
      <c r="C406" s="20" t="str"/>
      <c r="D406" s="20" t="str"/>
      <c r="E406" s="20" t="str"/>
      <c r="F406" s="20" t="str"/>
      <c r="G406" s="20" t="str"/>
      <c r="H406" s="20" t="str"/>
      <c r="I406" s="20" t="str"/>
      <c r="J406" s="20" t="str"/>
      <c r="K406" s="20" t="str"/>
      <c r="L406" s="20" t="inlineStr">
        <is>
          <t>待确认</t>
        </is>
      </c>
      <c r="M406" s="20" t="str"/>
      <c r="N406" s="20" t="inlineStr">
        <is>
          <t>PENDING</t>
        </is>
      </c>
      <c r="O406" s="20" t="inlineStr">
        <is>
          <t>待确认</t>
        </is>
      </c>
      <c r="P406" s="20" t="str"/>
    </row>
    <row r="407">
      <c r="A407" s="20" t="n">
        <v>404</v>
      </c>
      <c r="B407" s="20" t="str"/>
      <c r="C407" s="20" t="str"/>
      <c r="D407" s="20" t="str"/>
      <c r="E407" s="20" t="str"/>
      <c r="F407" s="20" t="str"/>
      <c r="G407" s="20" t="str"/>
      <c r="H407" s="20" t="str"/>
      <c r="I407" s="20" t="str"/>
      <c r="J407" s="20" t="str"/>
      <c r="K407" s="20" t="str"/>
      <c r="L407" s="20" t="inlineStr">
        <is>
          <t>待确认</t>
        </is>
      </c>
      <c r="M407" s="20" t="str"/>
      <c r="N407" s="20" t="inlineStr">
        <is>
          <t>PENDING</t>
        </is>
      </c>
      <c r="O407" s="20" t="inlineStr">
        <is>
          <t>待确认</t>
        </is>
      </c>
      <c r="P407" s="20" t="str"/>
    </row>
    <row r="408">
      <c r="A408" s="20" t="n">
        <v>405</v>
      </c>
      <c r="B408" s="20" t="str"/>
      <c r="C408" s="20" t="str"/>
      <c r="D408" s="20" t="str"/>
      <c r="E408" s="20" t="str"/>
      <c r="F408" s="20" t="str"/>
      <c r="G408" s="20" t="str"/>
      <c r="H408" s="20" t="str"/>
      <c r="I408" s="20" t="str"/>
      <c r="J408" s="20" t="str"/>
      <c r="K408" s="20" t="str"/>
      <c r="L408" s="20" t="inlineStr">
        <is>
          <t>待确认</t>
        </is>
      </c>
      <c r="M408" s="20" t="str"/>
      <c r="N408" s="20" t="inlineStr">
        <is>
          <t>PENDING</t>
        </is>
      </c>
      <c r="O408" s="20" t="inlineStr">
        <is>
          <t>待确认</t>
        </is>
      </c>
      <c r="P408" s="20" t="str"/>
    </row>
    <row r="409">
      <c r="A409" s="20" t="n">
        <v>406</v>
      </c>
      <c r="B409" s="20" t="str"/>
      <c r="C409" s="20" t="str"/>
      <c r="D409" s="20" t="str"/>
      <c r="E409" s="20" t="str"/>
      <c r="F409" s="20" t="str"/>
      <c r="G409" s="20" t="str"/>
      <c r="H409" s="20" t="str"/>
      <c r="I409" s="20" t="str"/>
      <c r="J409" s="20" t="str"/>
      <c r="K409" s="20" t="str"/>
      <c r="L409" s="20" t="inlineStr">
        <is>
          <t>待确认</t>
        </is>
      </c>
      <c r="M409" s="20" t="str"/>
      <c r="N409" s="20" t="inlineStr">
        <is>
          <t>PENDING</t>
        </is>
      </c>
      <c r="O409" s="20" t="inlineStr">
        <is>
          <t>待确认</t>
        </is>
      </c>
      <c r="P409" s="20" t="str"/>
    </row>
    <row r="410">
      <c r="A410" s="20" t="n">
        <v>407</v>
      </c>
      <c r="B410" s="20" t="str"/>
      <c r="C410" s="20" t="str"/>
      <c r="D410" s="20" t="str"/>
      <c r="E410" s="20" t="str"/>
      <c r="F410" s="20" t="str"/>
      <c r="G410" s="20" t="str"/>
      <c r="H410" s="20" t="str"/>
      <c r="I410" s="20" t="str"/>
      <c r="J410" s="20" t="str"/>
      <c r="K410" s="20" t="str"/>
      <c r="L410" s="20" t="inlineStr">
        <is>
          <t>待确认</t>
        </is>
      </c>
      <c r="M410" s="20" t="str"/>
      <c r="N410" s="20" t="inlineStr">
        <is>
          <t>PENDING</t>
        </is>
      </c>
      <c r="O410" s="20" t="inlineStr">
        <is>
          <t>待确认</t>
        </is>
      </c>
      <c r="P410" s="20" t="str"/>
    </row>
    <row r="411">
      <c r="A411" s="20" t="n">
        <v>408</v>
      </c>
      <c r="B411" s="20" t="str"/>
      <c r="C411" s="20" t="str"/>
      <c r="D411" s="20" t="str"/>
      <c r="E411" s="20" t="str"/>
      <c r="F411" s="20" t="str"/>
      <c r="G411" s="20" t="str"/>
      <c r="H411" s="20" t="str"/>
      <c r="I411" s="20" t="str"/>
      <c r="J411" s="20" t="str"/>
      <c r="K411" s="20" t="str"/>
      <c r="L411" s="20" t="inlineStr">
        <is>
          <t>待确认</t>
        </is>
      </c>
      <c r="M411" s="20" t="str"/>
      <c r="N411" s="20" t="inlineStr">
        <is>
          <t>PENDING</t>
        </is>
      </c>
      <c r="O411" s="20" t="inlineStr">
        <is>
          <t>待确认</t>
        </is>
      </c>
      <c r="P411" s="20" t="str"/>
    </row>
    <row r="412">
      <c r="A412" s="20" t="n">
        <v>409</v>
      </c>
      <c r="B412" s="20" t="str"/>
      <c r="C412" s="20" t="str"/>
      <c r="D412" s="20" t="str"/>
      <c r="E412" s="20" t="str"/>
      <c r="F412" s="20" t="str"/>
      <c r="G412" s="20" t="str"/>
      <c r="H412" s="20" t="str"/>
      <c r="I412" s="20" t="str"/>
      <c r="J412" s="20" t="str"/>
      <c r="K412" s="20" t="str"/>
      <c r="L412" s="20" t="inlineStr">
        <is>
          <t>待确认</t>
        </is>
      </c>
      <c r="M412" s="20" t="str"/>
      <c r="N412" s="20" t="inlineStr">
        <is>
          <t>PENDING</t>
        </is>
      </c>
      <c r="O412" s="20" t="inlineStr">
        <is>
          <t>待确认</t>
        </is>
      </c>
      <c r="P412" s="20" t="str"/>
    </row>
    <row r="413">
      <c r="A413" s="20" t="n">
        <v>410</v>
      </c>
      <c r="B413" s="20" t="str"/>
      <c r="C413" s="20" t="str"/>
      <c r="D413" s="20" t="str"/>
      <c r="E413" s="20" t="str"/>
      <c r="F413" s="20" t="str"/>
      <c r="G413" s="20" t="str"/>
      <c r="H413" s="20" t="str"/>
      <c r="I413" s="20" t="str"/>
      <c r="J413" s="20" t="str"/>
      <c r="K413" s="20" t="str"/>
      <c r="L413" s="20" t="inlineStr">
        <is>
          <t>待确认</t>
        </is>
      </c>
      <c r="M413" s="20" t="str"/>
      <c r="N413" s="20" t="inlineStr">
        <is>
          <t>PENDING</t>
        </is>
      </c>
      <c r="O413" s="20" t="inlineStr">
        <is>
          <t>待确认</t>
        </is>
      </c>
      <c r="P413" s="20" t="str"/>
    </row>
    <row r="414">
      <c r="A414" s="20" t="n">
        <v>411</v>
      </c>
      <c r="B414" s="20" t="str"/>
      <c r="C414" s="20" t="str"/>
      <c r="D414" s="20" t="str"/>
      <c r="E414" s="20" t="str"/>
      <c r="F414" s="20" t="str"/>
      <c r="G414" s="20" t="str"/>
      <c r="H414" s="20" t="str"/>
      <c r="I414" s="20" t="str"/>
      <c r="J414" s="20" t="str"/>
      <c r="K414" s="20" t="str"/>
      <c r="L414" s="20" t="inlineStr">
        <is>
          <t>待确认</t>
        </is>
      </c>
      <c r="M414" s="20" t="str"/>
      <c r="N414" s="20" t="inlineStr">
        <is>
          <t>PENDING</t>
        </is>
      </c>
      <c r="O414" s="20" t="inlineStr">
        <is>
          <t>待确认</t>
        </is>
      </c>
      <c r="P414" s="20" t="str"/>
    </row>
    <row r="415">
      <c r="A415" s="20" t="n">
        <v>412</v>
      </c>
      <c r="B415" s="20" t="str"/>
      <c r="C415" s="20" t="str"/>
      <c r="D415" s="20" t="str"/>
      <c r="E415" s="20" t="str"/>
      <c r="F415" s="20" t="str"/>
      <c r="G415" s="20" t="str"/>
      <c r="H415" s="20" t="str"/>
      <c r="I415" s="20" t="str"/>
      <c r="J415" s="20" t="str"/>
      <c r="K415" s="20" t="str"/>
      <c r="L415" s="20" t="inlineStr">
        <is>
          <t>待确认</t>
        </is>
      </c>
      <c r="M415" s="20" t="str"/>
      <c r="N415" s="20" t="inlineStr">
        <is>
          <t>PENDING</t>
        </is>
      </c>
      <c r="O415" s="20" t="inlineStr">
        <is>
          <t>待确认</t>
        </is>
      </c>
      <c r="P415" s="20" t="str"/>
    </row>
    <row r="416">
      <c r="A416" s="20" t="n">
        <v>413</v>
      </c>
      <c r="B416" s="20" t="str"/>
      <c r="C416" s="20" t="str"/>
      <c r="D416" s="20" t="str"/>
      <c r="E416" s="20" t="str"/>
      <c r="F416" s="20" t="str"/>
      <c r="G416" s="20" t="str"/>
      <c r="H416" s="20" t="str"/>
      <c r="I416" s="20" t="str"/>
      <c r="J416" s="20" t="str"/>
      <c r="K416" s="20" t="str"/>
      <c r="L416" s="20" t="inlineStr">
        <is>
          <t>待确认</t>
        </is>
      </c>
      <c r="M416" s="20" t="str"/>
      <c r="N416" s="20" t="inlineStr">
        <is>
          <t>PENDING</t>
        </is>
      </c>
      <c r="O416" s="20" t="inlineStr">
        <is>
          <t>待确认</t>
        </is>
      </c>
      <c r="P416" s="20" t="str"/>
    </row>
    <row r="417">
      <c r="A417" s="20" t="n">
        <v>414</v>
      </c>
      <c r="B417" s="20" t="str"/>
      <c r="C417" s="20" t="str"/>
      <c r="D417" s="20" t="str"/>
      <c r="E417" s="20" t="str"/>
      <c r="F417" s="20" t="str"/>
      <c r="G417" s="20" t="str"/>
      <c r="H417" s="20" t="str"/>
      <c r="I417" s="20" t="str"/>
      <c r="J417" s="20" t="str"/>
      <c r="K417" s="20" t="str"/>
      <c r="L417" s="20" t="inlineStr">
        <is>
          <t>待确认</t>
        </is>
      </c>
      <c r="M417" s="20" t="str"/>
      <c r="N417" s="20" t="inlineStr">
        <is>
          <t>PENDING</t>
        </is>
      </c>
      <c r="O417" s="20" t="inlineStr">
        <is>
          <t>待确认</t>
        </is>
      </c>
      <c r="P417" s="20" t="str"/>
    </row>
    <row r="418">
      <c r="A418" s="20" t="n">
        <v>415</v>
      </c>
      <c r="B418" s="20" t="str"/>
      <c r="C418" s="20" t="str"/>
      <c r="D418" s="20" t="str"/>
      <c r="E418" s="20" t="str"/>
      <c r="F418" s="20" t="str"/>
      <c r="G418" s="20" t="str"/>
      <c r="H418" s="20" t="str"/>
      <c r="I418" s="20" t="str"/>
      <c r="J418" s="20" t="str"/>
      <c r="K418" s="20" t="str"/>
      <c r="L418" s="20" t="inlineStr">
        <is>
          <t>待确认</t>
        </is>
      </c>
      <c r="M418" s="20" t="str"/>
      <c r="N418" s="20" t="inlineStr">
        <is>
          <t>PENDING</t>
        </is>
      </c>
      <c r="O418" s="20" t="inlineStr">
        <is>
          <t>待确认</t>
        </is>
      </c>
      <c r="P418" s="20" t="str"/>
    </row>
    <row r="419">
      <c r="A419" s="20" t="n">
        <v>416</v>
      </c>
      <c r="B419" s="20" t="str"/>
      <c r="C419" s="20" t="str"/>
      <c r="D419" s="20" t="str"/>
      <c r="E419" s="20" t="str"/>
      <c r="F419" s="20" t="str"/>
      <c r="G419" s="20" t="str"/>
      <c r="H419" s="20" t="str"/>
      <c r="I419" s="20" t="str"/>
      <c r="J419" s="20" t="str"/>
      <c r="K419" s="20" t="str"/>
      <c r="L419" s="20" t="inlineStr">
        <is>
          <t>待确认</t>
        </is>
      </c>
      <c r="M419" s="20" t="str"/>
      <c r="N419" s="20" t="inlineStr">
        <is>
          <t>PENDING</t>
        </is>
      </c>
      <c r="O419" s="20" t="inlineStr">
        <is>
          <t>待确认</t>
        </is>
      </c>
      <c r="P419" s="20" t="str"/>
    </row>
    <row r="420">
      <c r="A420" s="20" t="n">
        <v>417</v>
      </c>
      <c r="B420" s="20" t="str"/>
      <c r="C420" s="20" t="str"/>
      <c r="D420" s="20" t="str"/>
      <c r="E420" s="20" t="str"/>
      <c r="F420" s="20" t="str"/>
      <c r="G420" s="20" t="str"/>
      <c r="H420" s="20" t="str"/>
      <c r="I420" s="20" t="str"/>
      <c r="J420" s="20" t="str"/>
      <c r="K420" s="20" t="str"/>
      <c r="L420" s="20" t="inlineStr">
        <is>
          <t>待确认</t>
        </is>
      </c>
      <c r="M420" s="20" t="str"/>
      <c r="N420" s="20" t="inlineStr">
        <is>
          <t>PENDING</t>
        </is>
      </c>
      <c r="O420" s="20" t="inlineStr">
        <is>
          <t>待确认</t>
        </is>
      </c>
      <c r="P420" s="20" t="str"/>
    </row>
    <row r="421">
      <c r="A421" s="20" t="n">
        <v>418</v>
      </c>
      <c r="B421" s="20" t="str"/>
      <c r="C421" s="20" t="str"/>
      <c r="D421" s="20" t="str"/>
      <c r="E421" s="20" t="str"/>
      <c r="F421" s="20" t="str"/>
      <c r="G421" s="20" t="str"/>
      <c r="H421" s="20" t="str"/>
      <c r="I421" s="20" t="str"/>
      <c r="J421" s="20" t="str"/>
      <c r="K421" s="20" t="str"/>
      <c r="L421" s="20" t="inlineStr">
        <is>
          <t>待确认</t>
        </is>
      </c>
      <c r="M421" s="20" t="str"/>
      <c r="N421" s="20" t="inlineStr">
        <is>
          <t>PENDING</t>
        </is>
      </c>
      <c r="O421" s="20" t="inlineStr">
        <is>
          <t>待确认</t>
        </is>
      </c>
      <c r="P421" s="20" t="str"/>
    </row>
    <row r="422">
      <c r="A422" s="20" t="n">
        <v>419</v>
      </c>
      <c r="B422" s="20" t="str"/>
      <c r="C422" s="20" t="str"/>
      <c r="D422" s="20" t="str"/>
      <c r="E422" s="20" t="str"/>
      <c r="F422" s="20" t="str"/>
      <c r="G422" s="20" t="str"/>
      <c r="H422" s="20" t="str"/>
      <c r="I422" s="20" t="str"/>
      <c r="J422" s="20" t="str"/>
      <c r="K422" s="20" t="str"/>
      <c r="L422" s="20" t="inlineStr">
        <is>
          <t>待确认</t>
        </is>
      </c>
      <c r="M422" s="20" t="str"/>
      <c r="N422" s="20" t="inlineStr">
        <is>
          <t>PENDING</t>
        </is>
      </c>
      <c r="O422" s="20" t="inlineStr">
        <is>
          <t>待确认</t>
        </is>
      </c>
      <c r="P422" s="20" t="str"/>
    </row>
    <row r="423">
      <c r="A423" s="20" t="n">
        <v>420</v>
      </c>
      <c r="B423" s="20" t="str"/>
      <c r="C423" s="20" t="str"/>
      <c r="D423" s="20" t="str"/>
      <c r="E423" s="20" t="str"/>
      <c r="F423" s="20" t="str"/>
      <c r="G423" s="20" t="str"/>
      <c r="H423" s="20" t="str"/>
      <c r="I423" s="20" t="str"/>
      <c r="J423" s="20" t="str"/>
      <c r="K423" s="20" t="str"/>
      <c r="L423" s="20" t="inlineStr">
        <is>
          <t>待确认</t>
        </is>
      </c>
      <c r="M423" s="20" t="str"/>
      <c r="N423" s="20" t="inlineStr">
        <is>
          <t>PENDING</t>
        </is>
      </c>
      <c r="O423" s="20" t="inlineStr">
        <is>
          <t>待确认</t>
        </is>
      </c>
      <c r="P423" s="20" t="str"/>
    </row>
    <row r="424">
      <c r="A424" s="20" t="n">
        <v>421</v>
      </c>
      <c r="B424" s="20" t="str"/>
      <c r="C424" s="20" t="str"/>
      <c r="D424" s="20" t="str"/>
      <c r="E424" s="20" t="str"/>
      <c r="F424" s="20" t="str"/>
      <c r="G424" s="20" t="str"/>
      <c r="H424" s="20" t="str"/>
      <c r="I424" s="20" t="str"/>
      <c r="J424" s="20" t="str"/>
      <c r="K424" s="20" t="str"/>
      <c r="L424" s="20" t="inlineStr">
        <is>
          <t>待确认</t>
        </is>
      </c>
      <c r="M424" s="20" t="str"/>
      <c r="N424" s="20" t="inlineStr">
        <is>
          <t>PENDING</t>
        </is>
      </c>
      <c r="O424" s="20" t="inlineStr">
        <is>
          <t>待确认</t>
        </is>
      </c>
      <c r="P424" s="20" t="str"/>
    </row>
    <row r="425">
      <c r="A425" s="20" t="n">
        <v>422</v>
      </c>
      <c r="B425" s="20" t="str"/>
      <c r="C425" s="20" t="str"/>
      <c r="D425" s="20" t="str"/>
      <c r="E425" s="20" t="str"/>
      <c r="F425" s="20" t="str"/>
      <c r="G425" s="20" t="str"/>
      <c r="H425" s="20" t="str"/>
      <c r="I425" s="20" t="str"/>
      <c r="J425" s="20" t="str"/>
      <c r="K425" s="20" t="str"/>
      <c r="L425" s="20" t="inlineStr">
        <is>
          <t>待确认</t>
        </is>
      </c>
      <c r="M425" s="20" t="str"/>
      <c r="N425" s="20" t="inlineStr">
        <is>
          <t>PENDING</t>
        </is>
      </c>
      <c r="O425" s="20" t="inlineStr">
        <is>
          <t>待确认</t>
        </is>
      </c>
      <c r="P425" s="20" t="str"/>
    </row>
    <row r="426">
      <c r="A426" s="20" t="n">
        <v>423</v>
      </c>
      <c r="B426" s="20" t="str"/>
      <c r="C426" s="20" t="str"/>
      <c r="D426" s="20" t="str"/>
      <c r="E426" s="20" t="str"/>
      <c r="F426" s="20" t="str"/>
      <c r="G426" s="20" t="str"/>
      <c r="H426" s="20" t="str"/>
      <c r="I426" s="20" t="str"/>
      <c r="J426" s="20" t="str"/>
      <c r="K426" s="20" t="str"/>
      <c r="L426" s="20" t="inlineStr">
        <is>
          <t>待确认</t>
        </is>
      </c>
      <c r="M426" s="20" t="str"/>
      <c r="N426" s="20" t="inlineStr">
        <is>
          <t>PENDING</t>
        </is>
      </c>
      <c r="O426" s="20" t="inlineStr">
        <is>
          <t>待确认</t>
        </is>
      </c>
      <c r="P426" s="20" t="str"/>
    </row>
    <row r="427">
      <c r="A427" s="20" t="n">
        <v>424</v>
      </c>
      <c r="B427" s="20" t="str"/>
      <c r="C427" s="20" t="str"/>
      <c r="D427" s="20" t="str"/>
      <c r="E427" s="20" t="str"/>
      <c r="F427" s="20" t="str"/>
      <c r="G427" s="20" t="str"/>
      <c r="H427" s="20" t="str"/>
      <c r="I427" s="20" t="str"/>
      <c r="J427" s="20" t="str"/>
      <c r="K427" s="20" t="str"/>
      <c r="L427" s="20" t="inlineStr">
        <is>
          <t>待确认</t>
        </is>
      </c>
      <c r="M427" s="20" t="str"/>
      <c r="N427" s="20" t="inlineStr">
        <is>
          <t>PENDING</t>
        </is>
      </c>
      <c r="O427" s="20" t="inlineStr">
        <is>
          <t>待确认</t>
        </is>
      </c>
      <c r="P427" s="20" t="str"/>
    </row>
    <row r="428">
      <c r="A428" s="20" t="n">
        <v>425</v>
      </c>
      <c r="B428" s="20" t="str"/>
      <c r="C428" s="20" t="str"/>
      <c r="D428" s="20" t="str"/>
      <c r="E428" s="20" t="str"/>
      <c r="F428" s="20" t="str"/>
      <c r="G428" s="20" t="str"/>
      <c r="H428" s="20" t="str"/>
      <c r="I428" s="20" t="str"/>
      <c r="J428" s="20" t="str"/>
      <c r="K428" s="20" t="str"/>
      <c r="L428" s="20" t="inlineStr">
        <is>
          <t>待确认</t>
        </is>
      </c>
      <c r="M428" s="20" t="str"/>
      <c r="N428" s="20" t="inlineStr">
        <is>
          <t>PENDING</t>
        </is>
      </c>
      <c r="O428" s="20" t="inlineStr">
        <is>
          <t>待确认</t>
        </is>
      </c>
      <c r="P428" s="20" t="str"/>
    </row>
    <row r="429">
      <c r="A429" s="20" t="n">
        <v>426</v>
      </c>
      <c r="B429" s="20" t="str"/>
      <c r="C429" s="20" t="str"/>
      <c r="D429" s="20" t="str"/>
      <c r="E429" s="20" t="str"/>
      <c r="F429" s="20" t="str"/>
      <c r="G429" s="20" t="str"/>
      <c r="H429" s="20" t="str"/>
      <c r="I429" s="20" t="str"/>
      <c r="J429" s="20" t="str"/>
      <c r="K429" s="20" t="str"/>
      <c r="L429" s="20" t="inlineStr">
        <is>
          <t>待确认</t>
        </is>
      </c>
      <c r="M429" s="20" t="str"/>
      <c r="N429" s="20" t="inlineStr">
        <is>
          <t>PENDING</t>
        </is>
      </c>
      <c r="O429" s="20" t="inlineStr">
        <is>
          <t>待确认</t>
        </is>
      </c>
      <c r="P429" s="20" t="str"/>
    </row>
    <row r="430">
      <c r="A430" s="20" t="n">
        <v>427</v>
      </c>
      <c r="B430" s="20" t="str"/>
      <c r="C430" s="20" t="str"/>
      <c r="D430" s="20" t="str"/>
      <c r="E430" s="20" t="str"/>
      <c r="F430" s="20" t="str"/>
      <c r="G430" s="20" t="str"/>
      <c r="H430" s="20" t="str"/>
      <c r="I430" s="20" t="str"/>
      <c r="J430" s="20" t="str"/>
      <c r="K430" s="20" t="str"/>
      <c r="L430" s="20" t="inlineStr">
        <is>
          <t>待确认</t>
        </is>
      </c>
      <c r="M430" s="20" t="str"/>
      <c r="N430" s="20" t="inlineStr">
        <is>
          <t>PENDING</t>
        </is>
      </c>
      <c r="O430" s="20" t="inlineStr">
        <is>
          <t>待确认</t>
        </is>
      </c>
      <c r="P430" s="20" t="str"/>
    </row>
    <row r="431">
      <c r="A431" s="20" t="n">
        <v>428</v>
      </c>
      <c r="B431" s="20" t="str"/>
      <c r="C431" s="20" t="str"/>
      <c r="D431" s="20" t="str"/>
      <c r="E431" s="20" t="str"/>
      <c r="F431" s="20" t="str"/>
      <c r="G431" s="20" t="str"/>
      <c r="H431" s="20" t="str"/>
      <c r="I431" s="20" t="str"/>
      <c r="J431" s="20" t="str"/>
      <c r="K431" s="20" t="str"/>
      <c r="L431" s="20" t="inlineStr">
        <is>
          <t>待确认</t>
        </is>
      </c>
      <c r="M431" s="20" t="str"/>
      <c r="N431" s="20" t="inlineStr">
        <is>
          <t>PENDING</t>
        </is>
      </c>
      <c r="O431" s="20" t="inlineStr">
        <is>
          <t>待确认</t>
        </is>
      </c>
      <c r="P431" s="20" t="str"/>
    </row>
    <row r="432">
      <c r="A432" s="20" t="n">
        <v>429</v>
      </c>
      <c r="B432" s="20" t="str"/>
      <c r="C432" s="20" t="str"/>
      <c r="D432" s="20" t="str"/>
      <c r="E432" s="20" t="str"/>
      <c r="F432" s="20" t="str"/>
      <c r="G432" s="20" t="str"/>
      <c r="H432" s="20" t="str"/>
      <c r="I432" s="20" t="str"/>
      <c r="J432" s="20" t="str"/>
      <c r="K432" s="20" t="str"/>
      <c r="L432" s="20" t="inlineStr">
        <is>
          <t>待确认</t>
        </is>
      </c>
      <c r="M432" s="20" t="str"/>
      <c r="N432" s="20" t="inlineStr">
        <is>
          <t>PENDING</t>
        </is>
      </c>
      <c r="O432" s="20" t="inlineStr">
        <is>
          <t>待确认</t>
        </is>
      </c>
      <c r="P432" s="20" t="str"/>
    </row>
    <row r="433">
      <c r="A433" s="20" t="n">
        <v>430</v>
      </c>
      <c r="B433" s="20" t="str"/>
      <c r="C433" s="20" t="str"/>
      <c r="D433" s="20" t="str"/>
      <c r="E433" s="20" t="str"/>
      <c r="F433" s="20" t="str"/>
      <c r="G433" s="20" t="str"/>
      <c r="H433" s="20" t="str"/>
      <c r="I433" s="20" t="str"/>
      <c r="J433" s="20" t="str"/>
      <c r="K433" s="20" t="str"/>
      <c r="L433" s="20" t="inlineStr">
        <is>
          <t>待确认</t>
        </is>
      </c>
      <c r="M433" s="20" t="str"/>
      <c r="N433" s="20" t="inlineStr">
        <is>
          <t>PENDING</t>
        </is>
      </c>
      <c r="O433" s="20" t="inlineStr">
        <is>
          <t>待确认</t>
        </is>
      </c>
      <c r="P433" s="20" t="str"/>
    </row>
    <row r="434">
      <c r="A434" s="20" t="n">
        <v>431</v>
      </c>
      <c r="B434" s="20" t="str"/>
      <c r="C434" s="20" t="str"/>
      <c r="D434" s="20" t="str"/>
      <c r="E434" s="20" t="str"/>
      <c r="F434" s="20" t="str"/>
      <c r="G434" s="20" t="str"/>
      <c r="H434" s="20" t="str"/>
      <c r="I434" s="20" t="str"/>
      <c r="J434" s="20" t="str"/>
      <c r="K434" s="20" t="str"/>
      <c r="L434" s="20" t="inlineStr">
        <is>
          <t>待确认</t>
        </is>
      </c>
      <c r="M434" s="20" t="str"/>
      <c r="N434" s="20" t="inlineStr">
        <is>
          <t>PENDING</t>
        </is>
      </c>
      <c r="O434" s="20" t="inlineStr">
        <is>
          <t>待确认</t>
        </is>
      </c>
      <c r="P434" s="20" t="str"/>
    </row>
    <row r="435">
      <c r="A435" s="20" t="n">
        <v>432</v>
      </c>
      <c r="B435" s="20" t="str"/>
      <c r="C435" s="20" t="str"/>
      <c r="D435" s="20" t="str"/>
      <c r="E435" s="20" t="str"/>
      <c r="F435" s="20" t="str"/>
      <c r="G435" s="20" t="str"/>
      <c r="H435" s="20" t="str"/>
      <c r="I435" s="20" t="str"/>
      <c r="J435" s="20" t="str"/>
      <c r="K435" s="20" t="str"/>
      <c r="L435" s="20" t="inlineStr">
        <is>
          <t>待确认</t>
        </is>
      </c>
      <c r="M435" s="20" t="str"/>
      <c r="N435" s="20" t="inlineStr">
        <is>
          <t>PENDING</t>
        </is>
      </c>
      <c r="O435" s="20" t="inlineStr">
        <is>
          <t>待确认</t>
        </is>
      </c>
      <c r="P435" s="20" t="str"/>
    </row>
    <row r="436">
      <c r="A436" s="20" t="n">
        <v>433</v>
      </c>
      <c r="B436" s="20" t="str"/>
      <c r="C436" s="20" t="str"/>
      <c r="D436" s="20" t="str"/>
      <c r="E436" s="20" t="str"/>
      <c r="F436" s="20" t="str"/>
      <c r="G436" s="20" t="str"/>
      <c r="H436" s="20" t="str"/>
      <c r="I436" s="20" t="str"/>
      <c r="J436" s="20" t="str"/>
      <c r="K436" s="20" t="str"/>
      <c r="L436" s="20" t="inlineStr">
        <is>
          <t>待确认</t>
        </is>
      </c>
      <c r="M436" s="20" t="str"/>
      <c r="N436" s="20" t="inlineStr">
        <is>
          <t>PENDING</t>
        </is>
      </c>
      <c r="O436" s="20" t="inlineStr">
        <is>
          <t>待确认</t>
        </is>
      </c>
      <c r="P436" s="20" t="str"/>
    </row>
    <row r="437">
      <c r="A437" s="20" t="n">
        <v>434</v>
      </c>
      <c r="B437" s="20" t="str"/>
      <c r="C437" s="20" t="str"/>
      <c r="D437" s="20" t="str"/>
      <c r="E437" s="20" t="str"/>
      <c r="F437" s="20" t="str"/>
      <c r="G437" s="20" t="str"/>
      <c r="H437" s="20" t="str"/>
      <c r="I437" s="20" t="str"/>
      <c r="J437" s="20" t="str"/>
      <c r="K437" s="20" t="str"/>
      <c r="L437" s="20" t="inlineStr">
        <is>
          <t>待确认</t>
        </is>
      </c>
      <c r="M437" s="20" t="str"/>
      <c r="N437" s="20" t="inlineStr">
        <is>
          <t>PENDING</t>
        </is>
      </c>
      <c r="O437" s="20" t="inlineStr">
        <is>
          <t>待确认</t>
        </is>
      </c>
      <c r="P437" s="20" t="str"/>
    </row>
    <row r="438">
      <c r="A438" s="20" t="n">
        <v>435</v>
      </c>
      <c r="B438" s="20" t="str"/>
      <c r="C438" s="20" t="str"/>
      <c r="D438" s="20" t="str"/>
      <c r="E438" s="20" t="str"/>
      <c r="F438" s="20" t="str"/>
      <c r="G438" s="20" t="str"/>
      <c r="H438" s="20" t="str"/>
      <c r="I438" s="20" t="str"/>
      <c r="J438" s="20" t="str"/>
      <c r="K438" s="20" t="str"/>
      <c r="L438" s="20" t="inlineStr">
        <is>
          <t>待确认</t>
        </is>
      </c>
      <c r="M438" s="20" t="str"/>
      <c r="N438" s="20" t="inlineStr">
        <is>
          <t>PENDING</t>
        </is>
      </c>
      <c r="O438" s="20" t="inlineStr">
        <is>
          <t>待确认</t>
        </is>
      </c>
      <c r="P438" s="20" t="str"/>
    </row>
    <row r="439">
      <c r="A439" s="20" t="n">
        <v>436</v>
      </c>
      <c r="B439" s="20" t="str"/>
      <c r="C439" s="20" t="str"/>
      <c r="D439" s="20" t="str"/>
      <c r="E439" s="20" t="str"/>
      <c r="F439" s="20" t="str"/>
      <c r="G439" s="20" t="str"/>
      <c r="H439" s="20" t="str"/>
      <c r="I439" s="20" t="str"/>
      <c r="J439" s="20" t="str"/>
      <c r="K439" s="20" t="str"/>
      <c r="L439" s="20" t="inlineStr">
        <is>
          <t>待确认</t>
        </is>
      </c>
      <c r="M439" s="20" t="str"/>
      <c r="N439" s="20" t="inlineStr">
        <is>
          <t>PENDING</t>
        </is>
      </c>
      <c r="O439" s="20" t="inlineStr">
        <is>
          <t>待确认</t>
        </is>
      </c>
      <c r="P439" s="20" t="str"/>
    </row>
    <row r="440">
      <c r="A440" s="20" t="n">
        <v>437</v>
      </c>
      <c r="B440" s="20" t="str"/>
      <c r="C440" s="20" t="str"/>
      <c r="D440" s="20" t="str"/>
      <c r="E440" s="20" t="str"/>
      <c r="F440" s="20" t="str"/>
      <c r="G440" s="20" t="str"/>
      <c r="H440" s="20" t="str"/>
      <c r="I440" s="20" t="str"/>
      <c r="J440" s="20" t="str"/>
      <c r="K440" s="20" t="str"/>
      <c r="L440" s="20" t="inlineStr">
        <is>
          <t>待确认</t>
        </is>
      </c>
      <c r="M440" s="20" t="str"/>
      <c r="N440" s="20" t="inlineStr">
        <is>
          <t>PENDING</t>
        </is>
      </c>
      <c r="O440" s="20" t="inlineStr">
        <is>
          <t>待确认</t>
        </is>
      </c>
      <c r="P440" s="20" t="str"/>
    </row>
    <row r="441">
      <c r="A441" s="20" t="n">
        <v>438</v>
      </c>
      <c r="B441" s="20" t="str"/>
      <c r="C441" s="20" t="str"/>
      <c r="D441" s="20" t="str"/>
      <c r="E441" s="20" t="str"/>
      <c r="F441" s="20" t="str"/>
      <c r="G441" s="20" t="str"/>
      <c r="H441" s="20" t="str"/>
      <c r="I441" s="20" t="str"/>
      <c r="J441" s="20" t="str"/>
      <c r="K441" s="20" t="str"/>
      <c r="L441" s="20" t="inlineStr">
        <is>
          <t>待确认</t>
        </is>
      </c>
      <c r="M441" s="20" t="str"/>
      <c r="N441" s="20" t="inlineStr">
        <is>
          <t>PENDING</t>
        </is>
      </c>
      <c r="O441" s="20" t="inlineStr">
        <is>
          <t>待确认</t>
        </is>
      </c>
      <c r="P441" s="20" t="str"/>
    </row>
    <row r="442">
      <c r="A442" s="20" t="n">
        <v>439</v>
      </c>
      <c r="B442" s="20" t="str"/>
      <c r="C442" s="20" t="str"/>
      <c r="D442" s="20" t="str"/>
      <c r="E442" s="20" t="str"/>
      <c r="F442" s="20" t="str"/>
      <c r="G442" s="20" t="str"/>
      <c r="H442" s="20" t="str"/>
      <c r="I442" s="20" t="str"/>
      <c r="J442" s="20" t="str"/>
      <c r="K442" s="20" t="str"/>
      <c r="L442" s="20" t="inlineStr">
        <is>
          <t>待确认</t>
        </is>
      </c>
      <c r="M442" s="20" t="str"/>
      <c r="N442" s="20" t="inlineStr">
        <is>
          <t>PENDING</t>
        </is>
      </c>
      <c r="O442" s="20" t="inlineStr">
        <is>
          <t>待确认</t>
        </is>
      </c>
      <c r="P442" s="20" t="str"/>
    </row>
    <row r="443">
      <c r="A443" s="20" t="n">
        <v>440</v>
      </c>
      <c r="B443" s="20" t="str"/>
      <c r="C443" s="20" t="str"/>
      <c r="D443" s="20" t="str"/>
      <c r="E443" s="20" t="str"/>
      <c r="F443" s="20" t="str"/>
      <c r="G443" s="20" t="str"/>
      <c r="H443" s="20" t="str"/>
      <c r="I443" s="20" t="str"/>
      <c r="J443" s="20" t="str"/>
      <c r="K443" s="20" t="str"/>
      <c r="L443" s="20" t="inlineStr">
        <is>
          <t>待确认</t>
        </is>
      </c>
      <c r="M443" s="20" t="str"/>
      <c r="N443" s="20" t="inlineStr">
        <is>
          <t>PENDING</t>
        </is>
      </c>
      <c r="O443" s="20" t="inlineStr">
        <is>
          <t>待确认</t>
        </is>
      </c>
      <c r="P443" s="20" t="str"/>
    </row>
    <row r="444">
      <c r="A444" s="20" t="n">
        <v>441</v>
      </c>
      <c r="B444" s="20" t="str"/>
      <c r="C444" s="20" t="str"/>
      <c r="D444" s="20" t="str"/>
      <c r="E444" s="20" t="str"/>
      <c r="F444" s="20" t="str"/>
      <c r="G444" s="20" t="str"/>
      <c r="H444" s="20" t="str"/>
      <c r="I444" s="20" t="str"/>
      <c r="J444" s="20" t="str"/>
      <c r="K444" s="20" t="str"/>
      <c r="L444" s="20" t="inlineStr">
        <is>
          <t>待确认</t>
        </is>
      </c>
      <c r="M444" s="20" t="str"/>
      <c r="N444" s="20" t="inlineStr">
        <is>
          <t>PENDING</t>
        </is>
      </c>
      <c r="O444" s="20" t="inlineStr">
        <is>
          <t>待确认</t>
        </is>
      </c>
      <c r="P444" s="20" t="str"/>
    </row>
    <row r="445">
      <c r="A445" s="20" t="n">
        <v>442</v>
      </c>
      <c r="B445" s="20" t="str"/>
      <c r="C445" s="20" t="str"/>
      <c r="D445" s="20" t="str"/>
      <c r="E445" s="20" t="str"/>
      <c r="F445" s="20" t="str"/>
      <c r="G445" s="20" t="str"/>
      <c r="H445" s="20" t="str"/>
      <c r="I445" s="20" t="str"/>
      <c r="J445" s="20" t="str"/>
      <c r="K445" s="20" t="str"/>
      <c r="L445" s="20" t="inlineStr">
        <is>
          <t>待确认</t>
        </is>
      </c>
      <c r="M445" s="20" t="str"/>
      <c r="N445" s="20" t="inlineStr">
        <is>
          <t>PENDING</t>
        </is>
      </c>
      <c r="O445" s="20" t="inlineStr">
        <is>
          <t>待确认</t>
        </is>
      </c>
      <c r="P445" s="20" t="str"/>
    </row>
    <row r="446">
      <c r="A446" s="20" t="n">
        <v>443</v>
      </c>
      <c r="B446" s="20" t="str"/>
      <c r="C446" s="20" t="str"/>
      <c r="D446" s="20" t="str"/>
      <c r="E446" s="20" t="str"/>
      <c r="F446" s="20" t="str"/>
      <c r="G446" s="20" t="str"/>
      <c r="H446" s="20" t="str"/>
      <c r="I446" s="20" t="str"/>
      <c r="J446" s="20" t="str"/>
      <c r="K446" s="20" t="str"/>
      <c r="L446" s="20" t="inlineStr">
        <is>
          <t>待确认</t>
        </is>
      </c>
      <c r="M446" s="20" t="str"/>
      <c r="N446" s="20" t="inlineStr">
        <is>
          <t>PENDING</t>
        </is>
      </c>
      <c r="O446" s="20" t="inlineStr">
        <is>
          <t>待确认</t>
        </is>
      </c>
      <c r="P446" s="20" t="str"/>
    </row>
    <row r="447">
      <c r="A447" s="20" t="n">
        <v>444</v>
      </c>
      <c r="B447" s="20" t="str"/>
      <c r="C447" s="20" t="str"/>
      <c r="D447" s="20" t="str"/>
      <c r="E447" s="20" t="str"/>
      <c r="F447" s="20" t="str"/>
      <c r="G447" s="20" t="str"/>
      <c r="H447" s="20" t="str"/>
      <c r="I447" s="20" t="str"/>
      <c r="J447" s="20" t="str"/>
      <c r="K447" s="20" t="str"/>
      <c r="L447" s="20" t="inlineStr">
        <is>
          <t>待确认</t>
        </is>
      </c>
      <c r="M447" s="20" t="str"/>
      <c r="N447" s="20" t="inlineStr">
        <is>
          <t>PENDING</t>
        </is>
      </c>
      <c r="O447" s="20" t="inlineStr">
        <is>
          <t>待确认</t>
        </is>
      </c>
      <c r="P447" s="20" t="str"/>
    </row>
    <row r="448">
      <c r="A448" s="20" t="n">
        <v>445</v>
      </c>
      <c r="B448" s="20" t="str"/>
      <c r="C448" s="20" t="str"/>
      <c r="D448" s="20" t="str"/>
      <c r="E448" s="20" t="str"/>
      <c r="F448" s="20" t="str"/>
      <c r="G448" s="20" t="str"/>
      <c r="H448" s="20" t="str"/>
      <c r="I448" s="20" t="str"/>
      <c r="J448" s="20" t="str"/>
      <c r="K448" s="20" t="str"/>
      <c r="L448" s="20" t="inlineStr">
        <is>
          <t>待确认</t>
        </is>
      </c>
      <c r="M448" s="20" t="str"/>
      <c r="N448" s="20" t="inlineStr">
        <is>
          <t>PENDING</t>
        </is>
      </c>
      <c r="O448" s="20" t="inlineStr">
        <is>
          <t>待确认</t>
        </is>
      </c>
      <c r="P448" s="20" t="str"/>
    </row>
    <row r="449">
      <c r="A449" s="20" t="n">
        <v>446</v>
      </c>
      <c r="B449" s="20" t="str"/>
      <c r="C449" s="20" t="str"/>
      <c r="D449" s="20" t="str"/>
      <c r="E449" s="20" t="str"/>
      <c r="F449" s="20" t="str"/>
      <c r="G449" s="20" t="str"/>
      <c r="H449" s="20" t="str"/>
      <c r="I449" s="20" t="str"/>
      <c r="J449" s="20" t="str"/>
      <c r="K449" s="20" t="str"/>
      <c r="L449" s="20" t="inlineStr">
        <is>
          <t>待确认</t>
        </is>
      </c>
      <c r="M449" s="20" t="str"/>
      <c r="N449" s="20" t="inlineStr">
        <is>
          <t>PENDING</t>
        </is>
      </c>
      <c r="O449" s="20" t="inlineStr">
        <is>
          <t>待确认</t>
        </is>
      </c>
      <c r="P449" s="20" t="str"/>
    </row>
    <row r="450">
      <c r="A450" s="20" t="n">
        <v>447</v>
      </c>
      <c r="B450" s="20" t="str"/>
      <c r="C450" s="20" t="str"/>
      <c r="D450" s="20" t="str"/>
      <c r="E450" s="20" t="str"/>
      <c r="F450" s="20" t="str"/>
      <c r="G450" s="20" t="str"/>
      <c r="H450" s="20" t="str"/>
      <c r="I450" s="20" t="str"/>
      <c r="J450" s="20" t="str"/>
      <c r="K450" s="20" t="str"/>
      <c r="L450" s="20" t="inlineStr">
        <is>
          <t>待确认</t>
        </is>
      </c>
      <c r="M450" s="20" t="str"/>
      <c r="N450" s="20" t="inlineStr">
        <is>
          <t>PENDING</t>
        </is>
      </c>
      <c r="O450" s="20" t="inlineStr">
        <is>
          <t>待确认</t>
        </is>
      </c>
      <c r="P450" s="20" t="str"/>
    </row>
    <row r="451">
      <c r="A451" s="20" t="n">
        <v>448</v>
      </c>
      <c r="B451" s="20" t="str"/>
      <c r="C451" s="20" t="str"/>
      <c r="D451" s="20" t="str"/>
      <c r="E451" s="20" t="str"/>
      <c r="F451" s="20" t="str"/>
      <c r="G451" s="20" t="str"/>
      <c r="H451" s="20" t="str"/>
      <c r="I451" s="20" t="str"/>
      <c r="J451" s="20" t="str"/>
      <c r="K451" s="20" t="str"/>
      <c r="L451" s="20" t="inlineStr">
        <is>
          <t>待确认</t>
        </is>
      </c>
      <c r="M451" s="20" t="str"/>
      <c r="N451" s="20" t="inlineStr">
        <is>
          <t>PENDING</t>
        </is>
      </c>
      <c r="O451" s="20" t="inlineStr">
        <is>
          <t>待确认</t>
        </is>
      </c>
      <c r="P451" s="20" t="str"/>
    </row>
    <row r="452">
      <c r="A452" s="20" t="n">
        <v>449</v>
      </c>
      <c r="B452" s="20" t="str"/>
      <c r="C452" s="20" t="str"/>
      <c r="D452" s="20" t="str"/>
      <c r="E452" s="20" t="str"/>
      <c r="F452" s="20" t="str"/>
      <c r="G452" s="20" t="str"/>
      <c r="H452" s="20" t="str"/>
      <c r="I452" s="20" t="str"/>
      <c r="J452" s="20" t="str"/>
      <c r="K452" s="20" t="str"/>
      <c r="L452" s="20" t="inlineStr">
        <is>
          <t>待确认</t>
        </is>
      </c>
      <c r="M452" s="20" t="str"/>
      <c r="N452" s="20" t="inlineStr">
        <is>
          <t>PENDING</t>
        </is>
      </c>
      <c r="O452" s="20" t="inlineStr">
        <is>
          <t>待确认</t>
        </is>
      </c>
      <c r="P452" s="20" t="str"/>
    </row>
    <row r="453">
      <c r="A453" s="20" t="n">
        <v>450</v>
      </c>
      <c r="B453" s="20" t="str"/>
      <c r="C453" s="20" t="str"/>
      <c r="D453" s="20" t="str"/>
      <c r="E453" s="20" t="str"/>
      <c r="F453" s="20" t="str"/>
      <c r="G453" s="20" t="str"/>
      <c r="H453" s="20" t="str"/>
      <c r="I453" s="20" t="str"/>
      <c r="J453" s="20" t="str"/>
      <c r="K453" s="20" t="str"/>
      <c r="L453" s="20" t="inlineStr">
        <is>
          <t>待确认</t>
        </is>
      </c>
      <c r="M453" s="20" t="str"/>
      <c r="N453" s="20" t="inlineStr">
        <is>
          <t>PENDING</t>
        </is>
      </c>
      <c r="O453" s="20" t="inlineStr">
        <is>
          <t>待确认</t>
        </is>
      </c>
      <c r="P453" s="20" t="str"/>
    </row>
    <row r="454">
      <c r="A454" s="20" t="n">
        <v>451</v>
      </c>
      <c r="B454" s="20" t="str"/>
      <c r="C454" s="20" t="str"/>
      <c r="D454" s="20" t="str"/>
      <c r="E454" s="20" t="str"/>
      <c r="F454" s="20" t="str"/>
      <c r="G454" s="20" t="str"/>
      <c r="H454" s="20" t="str"/>
      <c r="I454" s="20" t="str"/>
      <c r="J454" s="20" t="str"/>
      <c r="K454" s="20" t="str"/>
      <c r="L454" s="20" t="inlineStr">
        <is>
          <t>待确认</t>
        </is>
      </c>
      <c r="M454" s="20" t="str"/>
      <c r="N454" s="20" t="inlineStr">
        <is>
          <t>PENDING</t>
        </is>
      </c>
      <c r="O454" s="20" t="inlineStr">
        <is>
          <t>待确认</t>
        </is>
      </c>
      <c r="P454" s="20" t="str"/>
    </row>
    <row r="455">
      <c r="A455" s="20" t="n">
        <v>452</v>
      </c>
      <c r="B455" s="20" t="str"/>
      <c r="C455" s="20" t="str"/>
      <c r="D455" s="20" t="str"/>
      <c r="E455" s="20" t="str"/>
      <c r="F455" s="20" t="str"/>
      <c r="G455" s="20" t="str"/>
      <c r="H455" s="20" t="str"/>
      <c r="I455" s="20" t="str"/>
      <c r="J455" s="20" t="str"/>
      <c r="K455" s="20" t="str"/>
      <c r="L455" s="20" t="inlineStr">
        <is>
          <t>待确认</t>
        </is>
      </c>
      <c r="M455" s="20" t="str"/>
      <c r="N455" s="20" t="inlineStr">
        <is>
          <t>PENDING</t>
        </is>
      </c>
      <c r="O455" s="20" t="inlineStr">
        <is>
          <t>待确认</t>
        </is>
      </c>
      <c r="P455" s="20" t="str"/>
    </row>
    <row r="456">
      <c r="A456" s="20" t="n">
        <v>453</v>
      </c>
      <c r="B456" s="20" t="str"/>
      <c r="C456" s="20" t="str"/>
      <c r="D456" s="20" t="str"/>
      <c r="E456" s="20" t="str"/>
      <c r="F456" s="20" t="str"/>
      <c r="G456" s="20" t="str"/>
      <c r="H456" s="20" t="str"/>
      <c r="I456" s="20" t="str"/>
      <c r="J456" s="20" t="str"/>
      <c r="K456" s="20" t="str"/>
      <c r="L456" s="20" t="inlineStr">
        <is>
          <t>待确认</t>
        </is>
      </c>
      <c r="M456" s="20" t="str"/>
      <c r="N456" s="20" t="inlineStr">
        <is>
          <t>PENDING</t>
        </is>
      </c>
      <c r="O456" s="20" t="inlineStr">
        <is>
          <t>待确认</t>
        </is>
      </c>
      <c r="P456" s="20" t="str"/>
    </row>
    <row r="457">
      <c r="A457" s="20" t="n">
        <v>454</v>
      </c>
      <c r="B457" s="20" t="str"/>
      <c r="C457" s="20" t="str"/>
      <c r="D457" s="20" t="str"/>
      <c r="E457" s="20" t="str"/>
      <c r="F457" s="20" t="str"/>
      <c r="G457" s="20" t="str"/>
      <c r="H457" s="20" t="str"/>
      <c r="I457" s="20" t="str"/>
      <c r="J457" s="20" t="str"/>
      <c r="K457" s="20" t="str"/>
      <c r="L457" s="20" t="inlineStr">
        <is>
          <t>待确认</t>
        </is>
      </c>
      <c r="M457" s="20" t="str"/>
      <c r="N457" s="20" t="inlineStr">
        <is>
          <t>PENDING</t>
        </is>
      </c>
      <c r="O457" s="20" t="inlineStr">
        <is>
          <t>待确认</t>
        </is>
      </c>
      <c r="P457" s="20" t="str"/>
    </row>
    <row r="458">
      <c r="A458" s="20" t="n">
        <v>455</v>
      </c>
      <c r="B458" s="20" t="str"/>
      <c r="C458" s="20" t="str"/>
      <c r="D458" s="20" t="str"/>
      <c r="E458" s="20" t="str"/>
      <c r="F458" s="20" t="str"/>
      <c r="G458" s="20" t="str"/>
      <c r="H458" s="20" t="str"/>
      <c r="I458" s="20" t="str"/>
      <c r="J458" s="20" t="str"/>
      <c r="K458" s="20" t="str"/>
      <c r="L458" s="20" t="inlineStr">
        <is>
          <t>待确认</t>
        </is>
      </c>
      <c r="M458" s="20" t="str"/>
      <c r="N458" s="20" t="inlineStr">
        <is>
          <t>PENDING</t>
        </is>
      </c>
      <c r="O458" s="20" t="inlineStr">
        <is>
          <t>待确认</t>
        </is>
      </c>
      <c r="P458" s="20" t="str"/>
    </row>
    <row r="459">
      <c r="A459" s="20" t="n">
        <v>456</v>
      </c>
      <c r="B459" s="20" t="str"/>
      <c r="C459" s="20" t="str"/>
      <c r="D459" s="20" t="str"/>
      <c r="E459" s="20" t="str"/>
      <c r="F459" s="20" t="str"/>
      <c r="G459" s="20" t="str"/>
      <c r="H459" s="20" t="str"/>
      <c r="I459" s="20" t="str"/>
      <c r="J459" s="20" t="str"/>
      <c r="K459" s="20" t="str"/>
      <c r="L459" s="20" t="inlineStr">
        <is>
          <t>待确认</t>
        </is>
      </c>
      <c r="M459" s="20" t="str"/>
      <c r="N459" s="20" t="inlineStr">
        <is>
          <t>PENDING</t>
        </is>
      </c>
      <c r="O459" s="20" t="inlineStr">
        <is>
          <t>待确认</t>
        </is>
      </c>
      <c r="P459" s="20" t="str"/>
    </row>
    <row r="460">
      <c r="A460" s="20" t="n">
        <v>457</v>
      </c>
      <c r="B460" s="20" t="str"/>
      <c r="C460" s="20" t="str"/>
      <c r="D460" s="20" t="str"/>
      <c r="E460" s="20" t="str"/>
      <c r="F460" s="20" t="str"/>
      <c r="G460" s="20" t="str"/>
      <c r="H460" s="20" t="str"/>
      <c r="I460" s="20" t="str"/>
      <c r="J460" s="20" t="str"/>
      <c r="K460" s="20" t="str"/>
      <c r="L460" s="20" t="inlineStr">
        <is>
          <t>待确认</t>
        </is>
      </c>
      <c r="M460" s="20" t="str"/>
      <c r="N460" s="20" t="inlineStr">
        <is>
          <t>PENDING</t>
        </is>
      </c>
      <c r="O460" s="20" t="inlineStr">
        <is>
          <t>待确认</t>
        </is>
      </c>
      <c r="P460" s="20" t="str"/>
    </row>
    <row r="461">
      <c r="A461" s="20" t="n">
        <v>458</v>
      </c>
      <c r="B461" s="20" t="str"/>
      <c r="C461" s="20" t="str"/>
      <c r="D461" s="20" t="str"/>
      <c r="E461" s="20" t="str"/>
      <c r="F461" s="20" t="str"/>
      <c r="G461" s="20" t="str"/>
      <c r="H461" s="20" t="str"/>
      <c r="I461" s="20" t="str"/>
      <c r="J461" s="20" t="str"/>
      <c r="K461" s="20" t="str"/>
      <c r="L461" s="20" t="inlineStr">
        <is>
          <t>待确认</t>
        </is>
      </c>
      <c r="M461" s="20" t="str"/>
      <c r="N461" s="20" t="inlineStr">
        <is>
          <t>PENDING</t>
        </is>
      </c>
      <c r="O461" s="20" t="inlineStr">
        <is>
          <t>待确认</t>
        </is>
      </c>
      <c r="P461" s="20" t="str"/>
    </row>
    <row r="462">
      <c r="A462" s="20" t="n">
        <v>459</v>
      </c>
      <c r="B462" s="20" t="str"/>
      <c r="C462" s="20" t="str"/>
      <c r="D462" s="20" t="str"/>
      <c r="E462" s="20" t="str"/>
      <c r="F462" s="20" t="str"/>
      <c r="G462" s="20" t="str"/>
      <c r="H462" s="20" t="str"/>
      <c r="I462" s="20" t="str"/>
      <c r="J462" s="20" t="str"/>
      <c r="K462" s="20" t="str"/>
      <c r="L462" s="20" t="inlineStr">
        <is>
          <t>待确认</t>
        </is>
      </c>
      <c r="M462" s="20" t="str"/>
      <c r="N462" s="20" t="inlineStr">
        <is>
          <t>PENDING</t>
        </is>
      </c>
      <c r="O462" s="20" t="inlineStr">
        <is>
          <t>待确认</t>
        </is>
      </c>
      <c r="P462" s="20" t="str"/>
    </row>
    <row r="463">
      <c r="A463" s="20" t="n">
        <v>460</v>
      </c>
      <c r="B463" s="20" t="str"/>
      <c r="C463" s="20" t="str"/>
      <c r="D463" s="20" t="str"/>
      <c r="E463" s="20" t="str"/>
      <c r="F463" s="20" t="str"/>
      <c r="G463" s="20" t="str"/>
      <c r="H463" s="20" t="str"/>
      <c r="I463" s="20" t="str"/>
      <c r="J463" s="20" t="str"/>
      <c r="K463" s="20" t="str"/>
      <c r="L463" s="20" t="inlineStr">
        <is>
          <t>待确认</t>
        </is>
      </c>
      <c r="M463" s="20" t="str"/>
      <c r="N463" s="20" t="inlineStr">
        <is>
          <t>PENDING</t>
        </is>
      </c>
      <c r="O463" s="20" t="inlineStr">
        <is>
          <t>待确认</t>
        </is>
      </c>
      <c r="P463" s="20" t="str"/>
    </row>
    <row r="464">
      <c r="A464" s="20" t="n">
        <v>461</v>
      </c>
      <c r="B464" s="20" t="str"/>
      <c r="C464" s="20" t="str"/>
      <c r="D464" s="20" t="str"/>
      <c r="E464" s="20" t="str"/>
      <c r="F464" s="20" t="str"/>
      <c r="G464" s="20" t="str"/>
      <c r="H464" s="20" t="str"/>
      <c r="I464" s="20" t="str"/>
      <c r="J464" s="20" t="str"/>
      <c r="K464" s="20" t="str"/>
      <c r="L464" s="20" t="inlineStr">
        <is>
          <t>待确认</t>
        </is>
      </c>
      <c r="M464" s="20" t="str"/>
      <c r="N464" s="20" t="inlineStr">
        <is>
          <t>PENDING</t>
        </is>
      </c>
      <c r="O464" s="20" t="inlineStr">
        <is>
          <t>待确认</t>
        </is>
      </c>
      <c r="P464" s="20" t="str"/>
    </row>
    <row r="465">
      <c r="A465" s="20" t="n">
        <v>462</v>
      </c>
      <c r="B465" s="20" t="str"/>
      <c r="C465" s="20" t="str"/>
      <c r="D465" s="20" t="str"/>
      <c r="E465" s="20" t="str"/>
      <c r="F465" s="20" t="str"/>
      <c r="G465" s="20" t="str"/>
      <c r="H465" s="20" t="str"/>
      <c r="I465" s="20" t="str"/>
      <c r="J465" s="20" t="str"/>
      <c r="K465" s="20" t="str"/>
      <c r="L465" s="20" t="inlineStr">
        <is>
          <t>待确认</t>
        </is>
      </c>
      <c r="M465" s="20" t="str"/>
      <c r="N465" s="20" t="inlineStr">
        <is>
          <t>PENDING</t>
        </is>
      </c>
      <c r="O465" s="20" t="inlineStr">
        <is>
          <t>待确认</t>
        </is>
      </c>
      <c r="P465" s="20" t="str"/>
    </row>
    <row r="466">
      <c r="A466" s="20" t="n">
        <v>463</v>
      </c>
      <c r="B466" s="20" t="str"/>
      <c r="C466" s="20" t="str"/>
      <c r="D466" s="20" t="str"/>
      <c r="E466" s="20" t="str"/>
      <c r="F466" s="20" t="str"/>
      <c r="G466" s="20" t="str"/>
      <c r="H466" s="20" t="str"/>
      <c r="I466" s="20" t="str"/>
      <c r="J466" s="20" t="str"/>
      <c r="K466" s="20" t="str"/>
      <c r="L466" s="20" t="inlineStr">
        <is>
          <t>待确认</t>
        </is>
      </c>
      <c r="M466" s="20" t="str"/>
      <c r="N466" s="20" t="inlineStr">
        <is>
          <t>PENDING</t>
        </is>
      </c>
      <c r="O466" s="20" t="inlineStr">
        <is>
          <t>待确认</t>
        </is>
      </c>
      <c r="P466" s="20" t="str"/>
    </row>
    <row r="467">
      <c r="A467" s="20" t="n">
        <v>464</v>
      </c>
      <c r="B467" s="20" t="str"/>
      <c r="C467" s="20" t="str"/>
      <c r="D467" s="20" t="str"/>
      <c r="E467" s="20" t="str"/>
      <c r="F467" s="20" t="str"/>
      <c r="G467" s="20" t="str"/>
      <c r="H467" s="20" t="str"/>
      <c r="I467" s="20" t="str"/>
      <c r="J467" s="20" t="str"/>
      <c r="K467" s="20" t="str"/>
      <c r="L467" s="20" t="inlineStr">
        <is>
          <t>待确认</t>
        </is>
      </c>
      <c r="M467" s="20" t="str"/>
      <c r="N467" s="20" t="inlineStr">
        <is>
          <t>PENDING</t>
        </is>
      </c>
      <c r="O467" s="20" t="inlineStr">
        <is>
          <t>待确认</t>
        </is>
      </c>
      <c r="P467" s="20" t="str"/>
    </row>
    <row r="468">
      <c r="A468" s="20" t="n">
        <v>465</v>
      </c>
      <c r="B468" s="20" t="str"/>
      <c r="C468" s="20" t="str"/>
      <c r="D468" s="20" t="str"/>
      <c r="E468" s="20" t="str"/>
      <c r="F468" s="20" t="str"/>
      <c r="G468" s="20" t="str"/>
      <c r="H468" s="20" t="str"/>
      <c r="I468" s="20" t="str"/>
      <c r="J468" s="20" t="str"/>
      <c r="K468" s="20" t="str"/>
      <c r="L468" s="20" t="inlineStr">
        <is>
          <t>待确认</t>
        </is>
      </c>
      <c r="M468" s="20" t="str"/>
      <c r="N468" s="20" t="inlineStr">
        <is>
          <t>PENDING</t>
        </is>
      </c>
      <c r="O468" s="20" t="inlineStr">
        <is>
          <t>待确认</t>
        </is>
      </c>
      <c r="P468" s="20" t="str"/>
    </row>
    <row r="469">
      <c r="A469" s="20" t="n">
        <v>466</v>
      </c>
      <c r="B469" s="20" t="str"/>
      <c r="C469" s="20" t="str"/>
      <c r="D469" s="20" t="str"/>
      <c r="E469" s="20" t="str"/>
      <c r="F469" s="20" t="str"/>
      <c r="G469" s="20" t="str"/>
      <c r="H469" s="20" t="str"/>
      <c r="I469" s="20" t="str"/>
      <c r="J469" s="20" t="str"/>
      <c r="K469" s="20" t="str"/>
      <c r="L469" s="20" t="inlineStr">
        <is>
          <t>待确认</t>
        </is>
      </c>
      <c r="M469" s="20" t="str"/>
      <c r="N469" s="20" t="inlineStr">
        <is>
          <t>PENDING</t>
        </is>
      </c>
      <c r="O469" s="20" t="inlineStr">
        <is>
          <t>待确认</t>
        </is>
      </c>
      <c r="P469" s="20" t="str"/>
    </row>
    <row r="470">
      <c r="A470" s="20" t="n">
        <v>467</v>
      </c>
      <c r="B470" s="20" t="str"/>
      <c r="C470" s="20" t="str"/>
      <c r="D470" s="20" t="str"/>
      <c r="E470" s="20" t="str"/>
      <c r="F470" s="20" t="str"/>
      <c r="G470" s="20" t="str"/>
      <c r="H470" s="20" t="str"/>
      <c r="I470" s="20" t="str"/>
      <c r="J470" s="20" t="str"/>
      <c r="K470" s="20" t="str"/>
      <c r="L470" s="20" t="inlineStr">
        <is>
          <t>待确认</t>
        </is>
      </c>
      <c r="M470" s="20" t="str"/>
      <c r="N470" s="20" t="inlineStr">
        <is>
          <t>PENDING</t>
        </is>
      </c>
      <c r="O470" s="20" t="inlineStr">
        <is>
          <t>待确认</t>
        </is>
      </c>
      <c r="P470" s="20" t="str"/>
    </row>
    <row r="471">
      <c r="A471" s="20" t="n">
        <v>468</v>
      </c>
      <c r="B471" s="20" t="str"/>
      <c r="C471" s="20" t="str"/>
      <c r="D471" s="20" t="str"/>
      <c r="E471" s="20" t="str"/>
      <c r="F471" s="20" t="str"/>
      <c r="G471" s="20" t="str"/>
      <c r="H471" s="20" t="str"/>
      <c r="I471" s="20" t="str"/>
      <c r="J471" s="20" t="str"/>
      <c r="K471" s="20" t="str"/>
      <c r="L471" s="20" t="inlineStr">
        <is>
          <t>待确认</t>
        </is>
      </c>
      <c r="M471" s="20" t="str"/>
      <c r="N471" s="20" t="inlineStr">
        <is>
          <t>PENDING</t>
        </is>
      </c>
      <c r="O471" s="20" t="inlineStr">
        <is>
          <t>待确认</t>
        </is>
      </c>
      <c r="P471" s="20" t="str"/>
    </row>
    <row r="472">
      <c r="A472" s="20" t="n">
        <v>469</v>
      </c>
      <c r="B472" s="20" t="str"/>
      <c r="C472" s="20" t="str"/>
      <c r="D472" s="20" t="str"/>
      <c r="E472" s="20" t="str"/>
      <c r="F472" s="20" t="str"/>
      <c r="G472" s="20" t="str"/>
      <c r="H472" s="20" t="str"/>
      <c r="I472" s="20" t="str"/>
      <c r="J472" s="20" t="str"/>
      <c r="K472" s="20" t="str"/>
      <c r="L472" s="20" t="inlineStr">
        <is>
          <t>待确认</t>
        </is>
      </c>
      <c r="M472" s="20" t="str"/>
      <c r="N472" s="20" t="inlineStr">
        <is>
          <t>PENDING</t>
        </is>
      </c>
      <c r="O472" s="20" t="inlineStr">
        <is>
          <t>待确认</t>
        </is>
      </c>
      <c r="P472" s="20" t="str"/>
    </row>
    <row r="473">
      <c r="A473" s="20" t="n">
        <v>470</v>
      </c>
      <c r="B473" s="20" t="str"/>
      <c r="C473" s="20" t="str"/>
      <c r="D473" s="20" t="str"/>
      <c r="E473" s="20" t="str"/>
      <c r="F473" s="20" t="str"/>
      <c r="G473" s="20" t="str"/>
      <c r="H473" s="20" t="str"/>
      <c r="I473" s="20" t="str"/>
      <c r="J473" s="20" t="str"/>
      <c r="K473" s="20" t="str"/>
      <c r="L473" s="20" t="inlineStr">
        <is>
          <t>待确认</t>
        </is>
      </c>
      <c r="M473" s="20" t="str"/>
      <c r="N473" s="20" t="inlineStr">
        <is>
          <t>PENDING</t>
        </is>
      </c>
      <c r="O473" s="20" t="inlineStr">
        <is>
          <t>待确认</t>
        </is>
      </c>
      <c r="P473" s="20" t="str"/>
    </row>
    <row r="474">
      <c r="A474" s="20" t="n">
        <v>471</v>
      </c>
      <c r="B474" s="20" t="str"/>
      <c r="C474" s="20" t="str"/>
      <c r="D474" s="20" t="str"/>
      <c r="E474" s="20" t="str"/>
      <c r="F474" s="20" t="str"/>
      <c r="G474" s="20" t="str"/>
      <c r="H474" s="20" t="str"/>
      <c r="I474" s="20" t="str"/>
      <c r="J474" s="20" t="str"/>
      <c r="K474" s="20" t="str"/>
      <c r="L474" s="20" t="inlineStr">
        <is>
          <t>待确认</t>
        </is>
      </c>
      <c r="M474" s="20" t="str"/>
      <c r="N474" s="20" t="inlineStr">
        <is>
          <t>PENDING</t>
        </is>
      </c>
      <c r="O474" s="20" t="inlineStr">
        <is>
          <t>待确认</t>
        </is>
      </c>
      <c r="P474" s="20" t="str"/>
    </row>
    <row r="475">
      <c r="A475" s="20" t="n">
        <v>472</v>
      </c>
      <c r="B475" s="20" t="str"/>
      <c r="C475" s="20" t="str"/>
      <c r="D475" s="20" t="str"/>
      <c r="E475" s="20" t="str"/>
      <c r="F475" s="20" t="str"/>
      <c r="G475" s="20" t="str"/>
      <c r="H475" s="20" t="str"/>
      <c r="I475" s="20" t="str"/>
      <c r="J475" s="20" t="str"/>
      <c r="K475" s="20" t="str"/>
      <c r="L475" s="20" t="inlineStr">
        <is>
          <t>待确认</t>
        </is>
      </c>
      <c r="M475" s="20" t="str"/>
      <c r="N475" s="20" t="inlineStr">
        <is>
          <t>PENDING</t>
        </is>
      </c>
      <c r="O475" s="20" t="inlineStr">
        <is>
          <t>待确认</t>
        </is>
      </c>
      <c r="P475" s="20" t="str"/>
    </row>
    <row r="476">
      <c r="A476" s="20" t="n">
        <v>473</v>
      </c>
      <c r="B476" s="20" t="str"/>
      <c r="C476" s="20" t="str"/>
      <c r="D476" s="20" t="str"/>
      <c r="E476" s="20" t="str"/>
      <c r="F476" s="20" t="str"/>
      <c r="G476" s="20" t="str"/>
      <c r="H476" s="20" t="str"/>
      <c r="I476" s="20" t="str"/>
      <c r="J476" s="20" t="str"/>
      <c r="K476" s="20" t="str"/>
      <c r="L476" s="20" t="inlineStr">
        <is>
          <t>待确认</t>
        </is>
      </c>
      <c r="M476" s="20" t="str"/>
      <c r="N476" s="20" t="inlineStr">
        <is>
          <t>PENDING</t>
        </is>
      </c>
      <c r="O476" s="20" t="inlineStr">
        <is>
          <t>待确认</t>
        </is>
      </c>
      <c r="P476" s="20" t="str"/>
    </row>
    <row r="477">
      <c r="A477" s="20" t="n">
        <v>474</v>
      </c>
      <c r="B477" s="20" t="str"/>
      <c r="C477" s="20" t="str"/>
      <c r="D477" s="20" t="str"/>
      <c r="E477" s="20" t="str"/>
      <c r="F477" s="20" t="str"/>
      <c r="G477" s="20" t="str"/>
      <c r="H477" s="20" t="str"/>
      <c r="I477" s="20" t="str"/>
      <c r="J477" s="20" t="str"/>
      <c r="K477" s="20" t="str"/>
      <c r="L477" s="20" t="inlineStr">
        <is>
          <t>待确认</t>
        </is>
      </c>
      <c r="M477" s="20" t="str"/>
      <c r="N477" s="20" t="inlineStr">
        <is>
          <t>PENDING</t>
        </is>
      </c>
      <c r="O477" s="20" t="inlineStr">
        <is>
          <t>待确认</t>
        </is>
      </c>
      <c r="P477" s="20" t="str"/>
    </row>
    <row r="478">
      <c r="A478" s="20" t="n">
        <v>475</v>
      </c>
      <c r="B478" s="20" t="str"/>
      <c r="C478" s="20" t="str"/>
      <c r="D478" s="20" t="str"/>
      <c r="E478" s="20" t="str"/>
      <c r="F478" s="20" t="str"/>
      <c r="G478" s="20" t="str"/>
      <c r="H478" s="20" t="str"/>
      <c r="I478" s="20" t="str"/>
      <c r="J478" s="20" t="str"/>
      <c r="K478" s="20" t="str"/>
      <c r="L478" s="20" t="inlineStr">
        <is>
          <t>待确认</t>
        </is>
      </c>
      <c r="M478" s="20" t="str"/>
      <c r="N478" s="20" t="inlineStr">
        <is>
          <t>PENDING</t>
        </is>
      </c>
      <c r="O478" s="20" t="inlineStr">
        <is>
          <t>待确认</t>
        </is>
      </c>
      <c r="P478" s="20" t="str"/>
    </row>
    <row r="479">
      <c r="A479" s="20" t="n">
        <v>476</v>
      </c>
      <c r="B479" s="20" t="str"/>
      <c r="C479" s="20" t="str"/>
      <c r="D479" s="20" t="str"/>
      <c r="E479" s="20" t="str"/>
      <c r="F479" s="20" t="str"/>
      <c r="G479" s="20" t="str"/>
      <c r="H479" s="20" t="str"/>
      <c r="I479" s="20" t="str"/>
      <c r="J479" s="20" t="str"/>
      <c r="K479" s="20" t="str"/>
      <c r="L479" s="20" t="inlineStr">
        <is>
          <t>待确认</t>
        </is>
      </c>
      <c r="M479" s="20" t="str"/>
      <c r="N479" s="20" t="inlineStr">
        <is>
          <t>PENDING</t>
        </is>
      </c>
      <c r="O479" s="20" t="inlineStr">
        <is>
          <t>待确认</t>
        </is>
      </c>
      <c r="P479" s="20" t="str"/>
    </row>
    <row r="480">
      <c r="A480" s="20" t="n">
        <v>477</v>
      </c>
      <c r="B480" s="20" t="str"/>
      <c r="C480" s="20" t="str"/>
      <c r="D480" s="20" t="str"/>
      <c r="E480" s="20" t="str"/>
      <c r="F480" s="20" t="str"/>
      <c r="G480" s="20" t="str"/>
      <c r="H480" s="20" t="str"/>
      <c r="I480" s="20" t="str"/>
      <c r="J480" s="20" t="str"/>
      <c r="K480" s="20" t="str"/>
      <c r="L480" s="20" t="inlineStr">
        <is>
          <t>待确认</t>
        </is>
      </c>
      <c r="M480" s="20" t="str"/>
      <c r="N480" s="20" t="inlineStr">
        <is>
          <t>PENDING</t>
        </is>
      </c>
      <c r="O480" s="20" t="inlineStr">
        <is>
          <t>待确认</t>
        </is>
      </c>
      <c r="P480" s="20" t="str"/>
    </row>
    <row r="481">
      <c r="A481" s="20" t="n">
        <v>478</v>
      </c>
      <c r="B481" s="20" t="str"/>
      <c r="C481" s="20" t="str"/>
      <c r="D481" s="20" t="str"/>
      <c r="E481" s="20" t="str"/>
      <c r="F481" s="20" t="str"/>
      <c r="G481" s="20" t="str"/>
      <c r="H481" s="20" t="str"/>
      <c r="I481" s="20" t="str"/>
      <c r="J481" s="20" t="str"/>
      <c r="K481" s="20" t="str"/>
      <c r="L481" s="20" t="inlineStr">
        <is>
          <t>待确认</t>
        </is>
      </c>
      <c r="M481" s="20" t="str"/>
      <c r="N481" s="20" t="inlineStr">
        <is>
          <t>PENDING</t>
        </is>
      </c>
      <c r="O481" s="20" t="inlineStr">
        <is>
          <t>待确认</t>
        </is>
      </c>
      <c r="P481" s="20" t="str"/>
    </row>
    <row r="482">
      <c r="A482" s="20" t="n">
        <v>479</v>
      </c>
      <c r="B482" s="20" t="str"/>
      <c r="C482" s="20" t="str"/>
      <c r="D482" s="20" t="str"/>
      <c r="E482" s="20" t="str"/>
      <c r="F482" s="20" t="str"/>
      <c r="G482" s="20" t="str"/>
      <c r="H482" s="20" t="str"/>
      <c r="I482" s="20" t="str"/>
      <c r="J482" s="20" t="str"/>
      <c r="K482" s="20" t="str"/>
      <c r="L482" s="20" t="inlineStr">
        <is>
          <t>待确认</t>
        </is>
      </c>
      <c r="M482" s="20" t="str"/>
      <c r="N482" s="20" t="inlineStr">
        <is>
          <t>PENDING</t>
        </is>
      </c>
      <c r="O482" s="20" t="inlineStr">
        <is>
          <t>待确认</t>
        </is>
      </c>
      <c r="P482" s="20" t="str"/>
    </row>
    <row r="483">
      <c r="A483" s="20" t="n">
        <v>480</v>
      </c>
      <c r="B483" s="20" t="str"/>
      <c r="C483" s="20" t="str"/>
      <c r="D483" s="20" t="str"/>
      <c r="E483" s="20" t="str"/>
      <c r="F483" s="20" t="str"/>
      <c r="G483" s="20" t="str"/>
      <c r="H483" s="20" t="str"/>
      <c r="I483" s="20" t="str"/>
      <c r="J483" s="20" t="str"/>
      <c r="K483" s="20" t="str"/>
      <c r="L483" s="20" t="inlineStr">
        <is>
          <t>待确认</t>
        </is>
      </c>
      <c r="M483" s="20" t="str"/>
      <c r="N483" s="20" t="inlineStr">
        <is>
          <t>PENDING</t>
        </is>
      </c>
      <c r="O483" s="20" t="inlineStr">
        <is>
          <t>待确认</t>
        </is>
      </c>
      <c r="P483" s="20" t="str"/>
    </row>
    <row r="484">
      <c r="A484" s="20" t="n">
        <v>481</v>
      </c>
      <c r="B484" s="20" t="str"/>
      <c r="C484" s="20" t="str"/>
      <c r="D484" s="20" t="str"/>
      <c r="E484" s="20" t="str"/>
      <c r="F484" s="20" t="str"/>
      <c r="G484" s="20" t="str"/>
      <c r="H484" s="20" t="str"/>
      <c r="I484" s="20" t="str"/>
      <c r="J484" s="20" t="str"/>
      <c r="K484" s="20" t="str"/>
      <c r="L484" s="20" t="inlineStr">
        <is>
          <t>待确认</t>
        </is>
      </c>
      <c r="M484" s="20" t="str"/>
      <c r="N484" s="20" t="inlineStr">
        <is>
          <t>PENDING</t>
        </is>
      </c>
      <c r="O484" s="20" t="inlineStr">
        <is>
          <t>待确认</t>
        </is>
      </c>
      <c r="P484" s="20" t="str"/>
    </row>
    <row r="485">
      <c r="A485" s="20" t="n">
        <v>482</v>
      </c>
      <c r="B485" s="20" t="str"/>
      <c r="C485" s="20" t="str"/>
      <c r="D485" s="20" t="str"/>
      <c r="E485" s="20" t="str"/>
      <c r="F485" s="20" t="str"/>
      <c r="G485" s="20" t="str"/>
      <c r="H485" s="20" t="str"/>
      <c r="I485" s="20" t="str"/>
      <c r="J485" s="20" t="str"/>
      <c r="K485" s="20" t="str"/>
      <c r="L485" s="20" t="inlineStr">
        <is>
          <t>待确认</t>
        </is>
      </c>
      <c r="M485" s="20" t="str"/>
      <c r="N485" s="20" t="inlineStr">
        <is>
          <t>PENDING</t>
        </is>
      </c>
      <c r="O485" s="20" t="inlineStr">
        <is>
          <t>待确认</t>
        </is>
      </c>
      <c r="P485" s="20" t="str"/>
    </row>
    <row r="486">
      <c r="A486" s="20" t="n">
        <v>483</v>
      </c>
      <c r="B486" s="20" t="str"/>
      <c r="C486" s="20" t="str"/>
      <c r="D486" s="20" t="str"/>
      <c r="E486" s="20" t="str"/>
      <c r="F486" s="20" t="str"/>
      <c r="G486" s="20" t="str"/>
      <c r="H486" s="20" t="str"/>
      <c r="I486" s="20" t="str"/>
      <c r="J486" s="20" t="str"/>
      <c r="K486" s="20" t="str"/>
      <c r="L486" s="20" t="inlineStr">
        <is>
          <t>待确认</t>
        </is>
      </c>
      <c r="M486" s="20" t="str"/>
      <c r="N486" s="20" t="inlineStr">
        <is>
          <t>PENDING</t>
        </is>
      </c>
      <c r="O486" s="20" t="inlineStr">
        <is>
          <t>待确认</t>
        </is>
      </c>
      <c r="P486" s="20" t="str"/>
    </row>
    <row r="487">
      <c r="A487" s="20" t="n">
        <v>484</v>
      </c>
      <c r="B487" s="20" t="str"/>
      <c r="C487" s="20" t="str"/>
      <c r="D487" s="20" t="str"/>
      <c r="E487" s="20" t="str"/>
      <c r="F487" s="20" t="str"/>
      <c r="G487" s="20" t="str"/>
      <c r="H487" s="20" t="str"/>
      <c r="I487" s="20" t="str"/>
      <c r="J487" s="20" t="str"/>
      <c r="K487" s="20" t="str"/>
      <c r="L487" s="20" t="inlineStr">
        <is>
          <t>待确认</t>
        </is>
      </c>
      <c r="M487" s="20" t="str"/>
      <c r="N487" s="20" t="inlineStr">
        <is>
          <t>PENDING</t>
        </is>
      </c>
      <c r="O487" s="20" t="inlineStr">
        <is>
          <t>待确认</t>
        </is>
      </c>
      <c r="P487" s="20" t="str"/>
    </row>
    <row r="488">
      <c r="A488" s="20" t="n">
        <v>485</v>
      </c>
      <c r="B488" s="20" t="str"/>
      <c r="C488" s="20" t="str"/>
      <c r="D488" s="20" t="str"/>
      <c r="E488" s="20" t="str"/>
      <c r="F488" s="20" t="str"/>
      <c r="G488" s="20" t="str"/>
      <c r="H488" s="20" t="str"/>
      <c r="I488" s="20" t="str"/>
      <c r="J488" s="20" t="str"/>
      <c r="K488" s="20" t="str"/>
      <c r="L488" s="20" t="inlineStr">
        <is>
          <t>待确认</t>
        </is>
      </c>
      <c r="M488" s="20" t="str"/>
      <c r="N488" s="20" t="inlineStr">
        <is>
          <t>PENDING</t>
        </is>
      </c>
      <c r="O488" s="20" t="inlineStr">
        <is>
          <t>待确认</t>
        </is>
      </c>
      <c r="P488" s="20" t="str"/>
    </row>
    <row r="489">
      <c r="A489" s="20" t="n">
        <v>486</v>
      </c>
      <c r="B489" s="20" t="str"/>
      <c r="C489" s="20" t="str"/>
      <c r="D489" s="20" t="str"/>
      <c r="E489" s="20" t="str"/>
      <c r="F489" s="20" t="str"/>
      <c r="G489" s="20" t="str"/>
      <c r="H489" s="20" t="str"/>
      <c r="I489" s="20" t="str"/>
      <c r="J489" s="20" t="str"/>
      <c r="K489" s="20" t="str"/>
      <c r="L489" s="20" t="inlineStr">
        <is>
          <t>待确认</t>
        </is>
      </c>
      <c r="M489" s="20" t="str"/>
      <c r="N489" s="20" t="inlineStr">
        <is>
          <t>PENDING</t>
        </is>
      </c>
      <c r="O489" s="20" t="inlineStr">
        <is>
          <t>待确认</t>
        </is>
      </c>
      <c r="P489" s="20" t="str"/>
    </row>
    <row r="490">
      <c r="A490" s="20" t="n">
        <v>487</v>
      </c>
      <c r="B490" s="20" t="str"/>
      <c r="C490" s="20" t="str"/>
      <c r="D490" s="20" t="str"/>
      <c r="E490" s="20" t="str"/>
      <c r="F490" s="20" t="str"/>
      <c r="G490" s="20" t="str"/>
      <c r="H490" s="20" t="str"/>
      <c r="I490" s="20" t="str"/>
      <c r="J490" s="20" t="str"/>
      <c r="K490" s="20" t="str"/>
      <c r="L490" s="20" t="inlineStr">
        <is>
          <t>待确认</t>
        </is>
      </c>
      <c r="M490" s="20" t="str"/>
      <c r="N490" s="20" t="inlineStr">
        <is>
          <t>PENDING</t>
        </is>
      </c>
      <c r="O490" s="20" t="inlineStr">
        <is>
          <t>待确认</t>
        </is>
      </c>
      <c r="P490" s="20" t="str"/>
    </row>
    <row r="491">
      <c r="A491" s="20" t="n">
        <v>488</v>
      </c>
      <c r="B491" s="20" t="str"/>
      <c r="C491" s="20" t="str"/>
      <c r="D491" s="20" t="str"/>
      <c r="E491" s="20" t="str"/>
      <c r="F491" s="20" t="str"/>
      <c r="G491" s="20" t="str"/>
      <c r="H491" s="20" t="str"/>
      <c r="I491" s="20" t="str"/>
      <c r="J491" s="20" t="str"/>
      <c r="K491" s="20" t="str"/>
      <c r="L491" s="20" t="inlineStr">
        <is>
          <t>待确认</t>
        </is>
      </c>
      <c r="M491" s="20" t="str"/>
      <c r="N491" s="20" t="inlineStr">
        <is>
          <t>PENDING</t>
        </is>
      </c>
      <c r="O491" s="20" t="inlineStr">
        <is>
          <t>待确认</t>
        </is>
      </c>
      <c r="P491" s="20" t="str"/>
    </row>
    <row r="492">
      <c r="A492" s="20" t="n">
        <v>489</v>
      </c>
      <c r="B492" s="20" t="str"/>
      <c r="C492" s="20" t="str"/>
      <c r="D492" s="20" t="str"/>
      <c r="E492" s="20" t="str"/>
      <c r="F492" s="20" t="str"/>
      <c r="G492" s="20" t="str"/>
      <c r="H492" s="20" t="str"/>
      <c r="I492" s="20" t="str"/>
      <c r="J492" s="20" t="str"/>
      <c r="K492" s="20" t="str"/>
      <c r="L492" s="20" t="inlineStr">
        <is>
          <t>待确认</t>
        </is>
      </c>
      <c r="M492" s="20" t="str"/>
      <c r="N492" s="20" t="inlineStr">
        <is>
          <t>PENDING</t>
        </is>
      </c>
      <c r="O492" s="20" t="inlineStr">
        <is>
          <t>待确认</t>
        </is>
      </c>
      <c r="P492" s="20" t="str"/>
    </row>
    <row r="493">
      <c r="A493" s="20" t="n">
        <v>490</v>
      </c>
      <c r="B493" s="20" t="str"/>
      <c r="C493" s="20" t="str"/>
      <c r="D493" s="20" t="str"/>
      <c r="E493" s="20" t="str"/>
      <c r="F493" s="20" t="str"/>
      <c r="G493" s="20" t="str"/>
      <c r="H493" s="20" t="str"/>
      <c r="I493" s="20" t="str"/>
      <c r="J493" s="20" t="str"/>
      <c r="K493" s="20" t="str"/>
      <c r="L493" s="20" t="inlineStr">
        <is>
          <t>待确认</t>
        </is>
      </c>
      <c r="M493" s="20" t="str"/>
      <c r="N493" s="20" t="inlineStr">
        <is>
          <t>PENDING</t>
        </is>
      </c>
      <c r="O493" s="20" t="inlineStr">
        <is>
          <t>待确认</t>
        </is>
      </c>
      <c r="P493" s="20" t="str"/>
    </row>
    <row r="494">
      <c r="A494" s="20" t="n">
        <v>491</v>
      </c>
      <c r="B494" s="20" t="str"/>
      <c r="C494" s="20" t="str"/>
      <c r="D494" s="20" t="str"/>
      <c r="E494" s="20" t="str"/>
      <c r="F494" s="20" t="str"/>
      <c r="G494" s="20" t="str"/>
      <c r="H494" s="20" t="str"/>
      <c r="I494" s="20" t="str"/>
      <c r="J494" s="20" t="str"/>
      <c r="K494" s="20" t="str"/>
      <c r="L494" s="20" t="inlineStr">
        <is>
          <t>待确认</t>
        </is>
      </c>
      <c r="M494" s="20" t="str"/>
      <c r="N494" s="20" t="inlineStr">
        <is>
          <t>PENDING</t>
        </is>
      </c>
      <c r="O494" s="20" t="inlineStr">
        <is>
          <t>待确认</t>
        </is>
      </c>
      <c r="P494" s="20" t="str"/>
    </row>
    <row r="495">
      <c r="A495" s="20" t="n">
        <v>492</v>
      </c>
      <c r="B495" s="20" t="str"/>
      <c r="C495" s="20" t="str"/>
      <c r="D495" s="20" t="str"/>
      <c r="E495" s="20" t="str"/>
      <c r="F495" s="20" t="str"/>
      <c r="G495" s="20" t="str"/>
      <c r="H495" s="20" t="str"/>
      <c r="I495" s="20" t="str"/>
      <c r="J495" s="20" t="str"/>
      <c r="K495" s="20" t="str"/>
      <c r="L495" s="20" t="inlineStr">
        <is>
          <t>待确认</t>
        </is>
      </c>
      <c r="M495" s="20" t="str"/>
      <c r="N495" s="20" t="inlineStr">
        <is>
          <t>PENDING</t>
        </is>
      </c>
      <c r="O495" s="20" t="inlineStr">
        <is>
          <t>待确认</t>
        </is>
      </c>
      <c r="P495" s="20" t="str"/>
    </row>
    <row r="496">
      <c r="A496" s="20" t="n">
        <v>493</v>
      </c>
      <c r="B496" s="20" t="str"/>
      <c r="C496" s="20" t="str"/>
      <c r="D496" s="20" t="str"/>
      <c r="E496" s="20" t="str"/>
      <c r="F496" s="20" t="str"/>
      <c r="G496" s="20" t="str"/>
      <c r="H496" s="20" t="str"/>
      <c r="I496" s="20" t="str"/>
      <c r="J496" s="20" t="str"/>
      <c r="K496" s="20" t="str"/>
      <c r="L496" s="20" t="inlineStr">
        <is>
          <t>待确认</t>
        </is>
      </c>
      <c r="M496" s="20" t="str"/>
      <c r="N496" s="20" t="inlineStr">
        <is>
          <t>PENDING</t>
        </is>
      </c>
      <c r="O496" s="20" t="inlineStr">
        <is>
          <t>待确认</t>
        </is>
      </c>
      <c r="P496" s="20" t="str"/>
    </row>
    <row r="497">
      <c r="A497" s="20" t="n">
        <v>494</v>
      </c>
      <c r="B497" s="20" t="str"/>
      <c r="C497" s="20" t="str"/>
      <c r="D497" s="20" t="str"/>
      <c r="E497" s="20" t="str"/>
      <c r="F497" s="20" t="str"/>
      <c r="G497" s="20" t="str"/>
      <c r="H497" s="20" t="str"/>
      <c r="I497" s="20" t="str"/>
      <c r="J497" s="20" t="str"/>
      <c r="K497" s="20" t="str"/>
      <c r="L497" s="20" t="inlineStr">
        <is>
          <t>待确认</t>
        </is>
      </c>
      <c r="M497" s="20" t="str"/>
      <c r="N497" s="20" t="inlineStr">
        <is>
          <t>PENDING</t>
        </is>
      </c>
      <c r="O497" s="20" t="inlineStr">
        <is>
          <t>待确认</t>
        </is>
      </c>
      <c r="P497" s="20" t="str"/>
    </row>
    <row r="498">
      <c r="A498" s="20" t="n">
        <v>495</v>
      </c>
      <c r="B498" s="20" t="str"/>
      <c r="C498" s="20" t="str"/>
      <c r="D498" s="20" t="str"/>
      <c r="E498" s="20" t="str"/>
      <c r="F498" s="20" t="str"/>
      <c r="G498" s="20" t="str"/>
      <c r="H498" s="20" t="str"/>
      <c r="I498" s="20" t="str"/>
      <c r="J498" s="20" t="str"/>
      <c r="K498" s="20" t="str"/>
      <c r="L498" s="20" t="inlineStr">
        <is>
          <t>待确认</t>
        </is>
      </c>
      <c r="M498" s="20" t="str"/>
      <c r="N498" s="20" t="inlineStr">
        <is>
          <t>PENDING</t>
        </is>
      </c>
      <c r="O498" s="20" t="inlineStr">
        <is>
          <t>待确认</t>
        </is>
      </c>
      <c r="P498" s="20" t="str"/>
    </row>
    <row r="499">
      <c r="A499" s="20" t="n">
        <v>496</v>
      </c>
      <c r="B499" s="20" t="str"/>
      <c r="C499" s="20" t="str"/>
      <c r="D499" s="20" t="str"/>
      <c r="E499" s="20" t="str"/>
      <c r="F499" s="20" t="str"/>
      <c r="G499" s="20" t="str"/>
      <c r="H499" s="20" t="str"/>
      <c r="I499" s="20" t="str"/>
      <c r="J499" s="20" t="str"/>
      <c r="K499" s="20" t="str"/>
      <c r="L499" s="20" t="inlineStr">
        <is>
          <t>待确认</t>
        </is>
      </c>
      <c r="M499" s="20" t="str"/>
      <c r="N499" s="20" t="inlineStr">
        <is>
          <t>PENDING</t>
        </is>
      </c>
      <c r="O499" s="20" t="inlineStr">
        <is>
          <t>待确认</t>
        </is>
      </c>
      <c r="P499" s="20" t="str"/>
    </row>
    <row r="500">
      <c r="A500" s="20" t="n">
        <v>497</v>
      </c>
      <c r="B500" s="20" t="str"/>
      <c r="C500" s="20" t="str"/>
      <c r="D500" s="20" t="str"/>
      <c r="E500" s="20" t="str"/>
      <c r="F500" s="20" t="str"/>
      <c r="G500" s="20" t="str"/>
      <c r="H500" s="20" t="str"/>
      <c r="I500" s="20" t="str"/>
      <c r="J500" s="20" t="str"/>
      <c r="K500" s="20" t="str"/>
      <c r="L500" s="20" t="inlineStr">
        <is>
          <t>待确认</t>
        </is>
      </c>
      <c r="M500" s="20" t="str"/>
      <c r="N500" s="20" t="inlineStr">
        <is>
          <t>PENDING</t>
        </is>
      </c>
      <c r="O500" s="20" t="inlineStr">
        <is>
          <t>待确认</t>
        </is>
      </c>
      <c r="P500" s="20" t="str"/>
    </row>
    <row r="501">
      <c r="A501" s="20" t="n">
        <v>498</v>
      </c>
      <c r="B501" s="20" t="str"/>
      <c r="C501" s="20" t="str"/>
      <c r="D501" s="20" t="str"/>
      <c r="E501" s="20" t="str"/>
      <c r="F501" s="20" t="str"/>
      <c r="G501" s="20" t="str"/>
      <c r="H501" s="20" t="str"/>
      <c r="I501" s="20" t="str"/>
      <c r="J501" s="20" t="str"/>
      <c r="K501" s="20" t="str"/>
      <c r="L501" s="20" t="inlineStr">
        <is>
          <t>待确认</t>
        </is>
      </c>
      <c r="M501" s="20" t="str"/>
      <c r="N501" s="20" t="inlineStr">
        <is>
          <t>PENDING</t>
        </is>
      </c>
      <c r="O501" s="20" t="inlineStr">
        <is>
          <t>待确认</t>
        </is>
      </c>
      <c r="P501" s="20" t="str"/>
    </row>
    <row r="502">
      <c r="A502" s="20" t="n">
        <v>499</v>
      </c>
      <c r="B502" s="20" t="str"/>
      <c r="C502" s="20" t="str"/>
      <c r="D502" s="20" t="str"/>
      <c r="E502" s="20" t="str"/>
      <c r="F502" s="20" t="str"/>
      <c r="G502" s="20" t="str"/>
      <c r="H502" s="20" t="str"/>
      <c r="I502" s="20" t="str"/>
      <c r="J502" s="20" t="str"/>
      <c r="K502" s="20" t="str"/>
      <c r="L502" s="20" t="inlineStr">
        <is>
          <t>待确认</t>
        </is>
      </c>
      <c r="M502" s="20" t="str"/>
      <c r="N502" s="20" t="inlineStr">
        <is>
          <t>PENDING</t>
        </is>
      </c>
      <c r="O502" s="20" t="inlineStr">
        <is>
          <t>待确认</t>
        </is>
      </c>
      <c r="P502" s="20" t="str"/>
    </row>
    <row r="503">
      <c r="A503" s="20" t="n">
        <v>500</v>
      </c>
      <c r="B503" s="20" t="str"/>
      <c r="C503" s="20" t="str"/>
      <c r="D503" s="20" t="str"/>
      <c r="E503" s="20" t="str"/>
      <c r="F503" s="20" t="str"/>
      <c r="G503" s="20" t="str"/>
      <c r="H503" s="20" t="str"/>
      <c r="I503" s="20" t="str"/>
      <c r="J503" s="20" t="str"/>
      <c r="K503" s="20" t="str"/>
      <c r="L503" s="20" t="inlineStr">
        <is>
          <t>待确认</t>
        </is>
      </c>
      <c r="M503" s="20" t="str"/>
      <c r="N503" s="20" t="inlineStr">
        <is>
          <t>PENDING</t>
        </is>
      </c>
      <c r="O503" s="20" t="inlineStr">
        <is>
          <t>待确认</t>
        </is>
      </c>
      <c r="P503" s="20" t="str"/>
    </row>
  </sheetData>
  <mergeCells count="1">
    <mergeCell ref="A1:P1"/>
  </mergeCells>
  <dataValidations count="3">
    <dataValidation sqref="L4:L503" showDropDown="0" showInputMessage="0" showErrorMessage="0" allowBlank="0" type="list">
      <formula1>"未暴露,已暴露,待确认"</formula1>
    </dataValidation>
    <dataValidation sqref="N4:N503" showDropDown="0" showInputMessage="0" showErrorMessage="0" allowBlank="0" type="list">
      <formula1>"PENDING,IN_SCOPE,OUT_OF_SCOPE,DUPLICATE_FILE"</formula1>
    </dataValidation>
    <dataValidation sqref="O4:O503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3" customWidth="1" min="4" max="4"/>
    <col width="13" customWidth="1" min="5" max="5"/>
    <col width="12" customWidth="1" min="6" max="6"/>
    <col width="13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5" customWidth="1" min="13" max="13"/>
    <col width="30" customWidth="1" min="14" max="14"/>
    <col width="19" customWidth="1" min="15" max="15"/>
    <col width="22" customWidth="1" min="16" max="16"/>
    <col width="15" customWidth="1" min="17" max="17"/>
    <col width="12" customWidth="1" min="18" max="18"/>
    <col width="18" customWidth="1" min="19" max="19"/>
  </cols>
  <sheetData>
    <row r="1" ht="28" customHeight="1">
      <c r="A1" s="9" t="inlineStr">
        <is>
          <t>SOP-01｜Legacy-N重资格：只处理02中IN_SCOPE且已冻结的样本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3">
      <c r="A3" s="13" t="inlineStr">
        <is>
          <t>Row</t>
        </is>
      </c>
      <c r="B3" s="13" t="inlineStr">
        <is>
          <t>sample_id</t>
        </is>
      </c>
      <c r="C3" s="13" t="inlineStr">
        <is>
          <t>task_type</t>
        </is>
      </c>
      <c r="D3" s="13" t="inlineStr">
        <is>
          <t>split_old</t>
        </is>
      </c>
      <c r="E3" s="13" t="inlineStr">
        <is>
          <t>label_exposed</t>
        </is>
      </c>
      <c r="F3" s="13" t="inlineStr">
        <is>
          <t>G1_Prov</t>
        </is>
      </c>
      <c r="G3" s="13" t="inlineStr">
        <is>
          <t>G2_Semantic</t>
        </is>
      </c>
      <c r="H3" s="13" t="inlineStr">
        <is>
          <t>G3_Annotatable</t>
        </is>
      </c>
      <c r="I3" s="13" t="inlineStr">
        <is>
          <t>G4_Schema</t>
        </is>
      </c>
      <c r="J3" s="13" t="inlineStr">
        <is>
          <t>G5_Diversity</t>
        </is>
      </c>
      <c r="K3" s="13" t="inlineStr">
        <is>
          <t>Leak</t>
        </is>
      </c>
      <c r="L3" s="13" t="inlineStr">
        <is>
          <t>AI_proposal</t>
        </is>
      </c>
      <c r="M3" s="13" t="inlineStr">
        <is>
          <t>Human_decision</t>
        </is>
      </c>
      <c r="N3" s="13" t="inlineStr">
        <is>
          <t>Reason_code</t>
        </is>
      </c>
      <c r="O3" s="13" t="inlineStr">
        <is>
          <t>target_task_type</t>
        </is>
      </c>
      <c r="P3" s="13" t="inlineStr">
        <is>
          <t>new_sample_id</t>
        </is>
      </c>
      <c r="Q3" s="13" t="inlineStr">
        <is>
          <t>Reviewer_check</t>
        </is>
      </c>
      <c r="R3" s="13" t="inlineStr">
        <is>
          <t>状态</t>
        </is>
      </c>
      <c r="S3" s="13" t="inlineStr">
        <is>
          <t>Split_eligibility</t>
        </is>
      </c>
    </row>
    <row r="4">
      <c r="A4" s="20" t="n">
        <v>1</v>
      </c>
      <c r="B4" s="20" t="str"/>
      <c r="C4" s="20" t="str"/>
      <c r="D4" s="20" t="str"/>
      <c r="E4" s="20" t="str"/>
      <c r="F4" s="20" t="inlineStr">
        <is>
          <t>PENDING</t>
        </is>
      </c>
      <c r="G4" s="20" t="inlineStr">
        <is>
          <t>PENDING</t>
        </is>
      </c>
      <c r="H4" s="20" t="inlineStr">
        <is>
          <t>PENDING</t>
        </is>
      </c>
      <c r="I4" s="20" t="inlineStr">
        <is>
          <t>PENDING</t>
        </is>
      </c>
      <c r="J4" s="20" t="inlineStr">
        <is>
          <t>PENDING</t>
        </is>
      </c>
      <c r="K4" s="20" t="inlineStr">
        <is>
          <t>待确认</t>
        </is>
      </c>
      <c r="L4" s="20">
        <f>IF(B4="","",IF(OR(F4="FAIL",K4="泄漏"),"DROP",IF(G4="FAIL","RELABEL",IF(OR(H4="FAIL",I4="FAIL",J4="FAIL"),"REWORK",IF(COUNTIF(F4:J4,"PENDING")&gt;0,"PENDING","REUSE")))))</f>
        <v/>
      </c>
      <c r="M4" s="20" t="inlineStr">
        <is>
          <t>PENDING</t>
        </is>
      </c>
      <c r="N4" s="20" t="str"/>
      <c r="O4" s="20" t="str"/>
      <c r="P4" s="20" t="str"/>
      <c r="Q4" s="20" t="inlineStr">
        <is>
          <t>待确认</t>
        </is>
      </c>
      <c r="R4" s="20" t="inlineStr">
        <is>
          <t>未开始</t>
        </is>
      </c>
      <c r="S4">
        <f>IF(B4="","",IF(E4="已暴露","DEV_REG_ONLY","ANY"))</f>
        <v/>
      </c>
    </row>
    <row r="5">
      <c r="A5" s="20" t="n">
        <v>2</v>
      </c>
      <c r="B5" s="20" t="str"/>
      <c r="C5" s="20" t="str"/>
      <c r="D5" s="20" t="str"/>
      <c r="E5" s="20" t="str"/>
      <c r="F5" s="20" t="inlineStr">
        <is>
          <t>PENDING</t>
        </is>
      </c>
      <c r="G5" s="20" t="inlineStr">
        <is>
          <t>PENDING</t>
        </is>
      </c>
      <c r="H5" s="20" t="inlineStr">
        <is>
          <t>PENDING</t>
        </is>
      </c>
      <c r="I5" s="20" t="inlineStr">
        <is>
          <t>PENDING</t>
        </is>
      </c>
      <c r="J5" s="20" t="inlineStr">
        <is>
          <t>PENDING</t>
        </is>
      </c>
      <c r="K5" s="20" t="inlineStr">
        <is>
          <t>待确认</t>
        </is>
      </c>
      <c r="L5" s="20">
        <f>IF(B5="","",IF(OR(F5="FAIL",K5="泄漏"),"DROP",IF(G5="FAIL","RELABEL",IF(OR(H5="FAIL",I5="FAIL",J5="FAIL"),"REWORK",IF(COUNTIF(F5:J5,"PENDING")&gt;0,"PENDING","REUSE")))))</f>
        <v/>
      </c>
      <c r="M5" s="20" t="inlineStr">
        <is>
          <t>PENDING</t>
        </is>
      </c>
      <c r="N5" s="20" t="str"/>
      <c r="O5" s="20" t="str"/>
      <c r="P5" s="20" t="str"/>
      <c r="Q5" s="20" t="inlineStr">
        <is>
          <t>待确认</t>
        </is>
      </c>
      <c r="R5" s="20" t="inlineStr">
        <is>
          <t>未开始</t>
        </is>
      </c>
      <c r="S5">
        <f>IF(B5="","",IF(E5="已暴露","DEV_REG_ONLY","ANY"))</f>
        <v/>
      </c>
    </row>
    <row r="6">
      <c r="A6" s="20" t="n">
        <v>3</v>
      </c>
      <c r="B6" s="20" t="str"/>
      <c r="C6" s="20" t="str"/>
      <c r="D6" s="20" t="str"/>
      <c r="E6" s="20" t="str"/>
      <c r="F6" s="20" t="inlineStr">
        <is>
          <t>PENDING</t>
        </is>
      </c>
      <c r="G6" s="20" t="inlineStr">
        <is>
          <t>PENDING</t>
        </is>
      </c>
      <c r="H6" s="20" t="inlineStr">
        <is>
          <t>PENDING</t>
        </is>
      </c>
      <c r="I6" s="20" t="inlineStr">
        <is>
          <t>PENDING</t>
        </is>
      </c>
      <c r="J6" s="20" t="inlineStr">
        <is>
          <t>PENDING</t>
        </is>
      </c>
      <c r="K6" s="20" t="inlineStr">
        <is>
          <t>待确认</t>
        </is>
      </c>
      <c r="L6" s="20">
        <f>IF(B6="","",IF(OR(F6="FAIL",K6="泄漏"),"DROP",IF(G6="FAIL","RELABEL",IF(OR(H6="FAIL",I6="FAIL",J6="FAIL"),"REWORK",IF(COUNTIF(F6:J6,"PENDING")&gt;0,"PENDING","REUSE")))))</f>
        <v/>
      </c>
      <c r="M6" s="20" t="inlineStr">
        <is>
          <t>PENDING</t>
        </is>
      </c>
      <c r="N6" s="20" t="str"/>
      <c r="O6" s="20" t="str"/>
      <c r="P6" s="20" t="str"/>
      <c r="Q6" s="20" t="inlineStr">
        <is>
          <t>待确认</t>
        </is>
      </c>
      <c r="R6" s="20" t="inlineStr">
        <is>
          <t>未开始</t>
        </is>
      </c>
      <c r="S6">
        <f>IF(B6="","",IF(E6="已暴露","DEV_REG_ONLY","ANY"))</f>
        <v/>
      </c>
    </row>
    <row r="7">
      <c r="A7" s="20" t="n">
        <v>4</v>
      </c>
      <c r="B7" s="20" t="str"/>
      <c r="C7" s="20" t="str"/>
      <c r="D7" s="20" t="str"/>
      <c r="E7" s="20" t="str"/>
      <c r="F7" s="20" t="inlineStr">
        <is>
          <t>PENDING</t>
        </is>
      </c>
      <c r="G7" s="20" t="inlineStr">
        <is>
          <t>PENDING</t>
        </is>
      </c>
      <c r="H7" s="20" t="inlineStr">
        <is>
          <t>PENDING</t>
        </is>
      </c>
      <c r="I7" s="20" t="inlineStr">
        <is>
          <t>PENDING</t>
        </is>
      </c>
      <c r="J7" s="20" t="inlineStr">
        <is>
          <t>PENDING</t>
        </is>
      </c>
      <c r="K7" s="20" t="inlineStr">
        <is>
          <t>待确认</t>
        </is>
      </c>
      <c r="L7" s="20">
        <f>IF(B7="","",IF(OR(F7="FAIL",K7="泄漏"),"DROP",IF(G7="FAIL","RELABEL",IF(OR(H7="FAIL",I7="FAIL",J7="FAIL"),"REWORK",IF(COUNTIF(F7:J7,"PENDING")&gt;0,"PENDING","REUSE")))))</f>
        <v/>
      </c>
      <c r="M7" s="20" t="inlineStr">
        <is>
          <t>PENDING</t>
        </is>
      </c>
      <c r="N7" s="20" t="str"/>
      <c r="O7" s="20" t="str"/>
      <c r="P7" s="20" t="str"/>
      <c r="Q7" s="20" t="inlineStr">
        <is>
          <t>待确认</t>
        </is>
      </c>
      <c r="R7" s="20" t="inlineStr">
        <is>
          <t>未开始</t>
        </is>
      </c>
      <c r="S7">
        <f>IF(B7="","",IF(E7="已暴露","DEV_REG_ONLY","ANY"))</f>
        <v/>
      </c>
    </row>
    <row r="8">
      <c r="A8" s="20" t="n">
        <v>5</v>
      </c>
      <c r="B8" s="20" t="str"/>
      <c r="C8" s="20" t="str"/>
      <c r="D8" s="20" t="str"/>
      <c r="E8" s="20" t="str"/>
      <c r="F8" s="20" t="inlineStr">
        <is>
          <t>PENDING</t>
        </is>
      </c>
      <c r="G8" s="20" t="inlineStr">
        <is>
          <t>PENDING</t>
        </is>
      </c>
      <c r="H8" s="20" t="inlineStr">
        <is>
          <t>PENDING</t>
        </is>
      </c>
      <c r="I8" s="20" t="inlineStr">
        <is>
          <t>PENDING</t>
        </is>
      </c>
      <c r="J8" s="20" t="inlineStr">
        <is>
          <t>PENDING</t>
        </is>
      </c>
      <c r="K8" s="20" t="inlineStr">
        <is>
          <t>待确认</t>
        </is>
      </c>
      <c r="L8" s="20">
        <f>IF(B8="","",IF(OR(F8="FAIL",K8="泄漏"),"DROP",IF(G8="FAIL","RELABEL",IF(OR(H8="FAIL",I8="FAIL",J8="FAIL"),"REWORK",IF(COUNTIF(F8:J8,"PENDING")&gt;0,"PENDING","REUSE")))))</f>
        <v/>
      </c>
      <c r="M8" s="20" t="inlineStr">
        <is>
          <t>PENDING</t>
        </is>
      </c>
      <c r="N8" s="20" t="str"/>
      <c r="O8" s="20" t="str"/>
      <c r="P8" s="20" t="str"/>
      <c r="Q8" s="20" t="inlineStr">
        <is>
          <t>待确认</t>
        </is>
      </c>
      <c r="R8" s="20" t="inlineStr">
        <is>
          <t>未开始</t>
        </is>
      </c>
      <c r="S8">
        <f>IF(B8="","",IF(E8="已暴露","DEV_REG_ONLY","ANY"))</f>
        <v/>
      </c>
    </row>
    <row r="9">
      <c r="A9" s="20" t="n">
        <v>6</v>
      </c>
      <c r="B9" s="20" t="str"/>
      <c r="C9" s="20" t="str"/>
      <c r="D9" s="20" t="str"/>
      <c r="E9" s="20" t="str"/>
      <c r="F9" s="20" t="inlineStr">
        <is>
          <t>PENDING</t>
        </is>
      </c>
      <c r="G9" s="20" t="inlineStr">
        <is>
          <t>PENDING</t>
        </is>
      </c>
      <c r="H9" s="20" t="inlineStr">
        <is>
          <t>PENDING</t>
        </is>
      </c>
      <c r="I9" s="20" t="inlineStr">
        <is>
          <t>PENDING</t>
        </is>
      </c>
      <c r="J9" s="20" t="inlineStr">
        <is>
          <t>PENDING</t>
        </is>
      </c>
      <c r="K9" s="20" t="inlineStr">
        <is>
          <t>待确认</t>
        </is>
      </c>
      <c r="L9" s="20">
        <f>IF(B9="","",IF(OR(F9="FAIL",K9="泄漏"),"DROP",IF(G9="FAIL","RELABEL",IF(OR(H9="FAIL",I9="FAIL",J9="FAIL"),"REWORK",IF(COUNTIF(F9:J9,"PENDING")&gt;0,"PENDING","REUSE")))))</f>
        <v/>
      </c>
      <c r="M9" s="20" t="inlineStr">
        <is>
          <t>PENDING</t>
        </is>
      </c>
      <c r="N9" s="20" t="str"/>
      <c r="O9" s="20" t="str"/>
      <c r="P9" s="20" t="str"/>
      <c r="Q9" s="20" t="inlineStr">
        <is>
          <t>待确认</t>
        </is>
      </c>
      <c r="R9" s="20" t="inlineStr">
        <is>
          <t>未开始</t>
        </is>
      </c>
      <c r="S9">
        <f>IF(B9="","",IF(E9="已暴露","DEV_REG_ONLY","ANY"))</f>
        <v/>
      </c>
    </row>
    <row r="10">
      <c r="A10" s="20" t="n">
        <v>7</v>
      </c>
      <c r="B10" s="20" t="str"/>
      <c r="C10" s="20" t="str"/>
      <c r="D10" s="20" t="str"/>
      <c r="E10" s="20" t="str"/>
      <c r="F10" s="20" t="inlineStr">
        <is>
          <t>PENDING</t>
        </is>
      </c>
      <c r="G10" s="20" t="inlineStr">
        <is>
          <t>PENDING</t>
        </is>
      </c>
      <c r="H10" s="20" t="inlineStr">
        <is>
          <t>PENDING</t>
        </is>
      </c>
      <c r="I10" s="20" t="inlineStr">
        <is>
          <t>PENDING</t>
        </is>
      </c>
      <c r="J10" s="20" t="inlineStr">
        <is>
          <t>PENDING</t>
        </is>
      </c>
      <c r="K10" s="20" t="inlineStr">
        <is>
          <t>待确认</t>
        </is>
      </c>
      <c r="L10" s="20">
        <f>IF(B10="","",IF(OR(F10="FAIL",K10="泄漏"),"DROP",IF(G10="FAIL","RELABEL",IF(OR(H10="FAIL",I10="FAIL",J10="FAIL"),"REWORK",IF(COUNTIF(F10:J10,"PENDING")&gt;0,"PENDING","REUSE")))))</f>
        <v/>
      </c>
      <c r="M10" s="20" t="inlineStr">
        <is>
          <t>PENDING</t>
        </is>
      </c>
      <c r="N10" s="20" t="str"/>
      <c r="O10" s="20" t="str"/>
      <c r="P10" s="20" t="str"/>
      <c r="Q10" s="20" t="inlineStr">
        <is>
          <t>待确认</t>
        </is>
      </c>
      <c r="R10" s="20" t="inlineStr">
        <is>
          <t>未开始</t>
        </is>
      </c>
      <c r="S10">
        <f>IF(B10="","",IF(E10="已暴露","DEV_REG_ONLY","ANY"))</f>
        <v/>
      </c>
    </row>
    <row r="11">
      <c r="A11" s="20" t="n">
        <v>8</v>
      </c>
      <c r="B11" s="20" t="str"/>
      <c r="C11" s="20" t="str"/>
      <c r="D11" s="20" t="str"/>
      <c r="E11" s="20" t="str"/>
      <c r="F11" s="20" t="inlineStr">
        <is>
          <t>PENDING</t>
        </is>
      </c>
      <c r="G11" s="20" t="inlineStr">
        <is>
          <t>PENDING</t>
        </is>
      </c>
      <c r="H11" s="20" t="inlineStr">
        <is>
          <t>PENDING</t>
        </is>
      </c>
      <c r="I11" s="20" t="inlineStr">
        <is>
          <t>PENDING</t>
        </is>
      </c>
      <c r="J11" s="20" t="inlineStr">
        <is>
          <t>PENDING</t>
        </is>
      </c>
      <c r="K11" s="20" t="inlineStr">
        <is>
          <t>待确认</t>
        </is>
      </c>
      <c r="L11" s="20">
        <f>IF(B11="","",IF(OR(F11="FAIL",K11="泄漏"),"DROP",IF(G11="FAIL","RELABEL",IF(OR(H11="FAIL",I11="FAIL",J11="FAIL"),"REWORK",IF(COUNTIF(F11:J11,"PENDING")&gt;0,"PENDING","REUSE")))))</f>
        <v/>
      </c>
      <c r="M11" s="20" t="inlineStr">
        <is>
          <t>PENDING</t>
        </is>
      </c>
      <c r="N11" s="20" t="str"/>
      <c r="O11" s="20" t="str"/>
      <c r="P11" s="20" t="str"/>
      <c r="Q11" s="20" t="inlineStr">
        <is>
          <t>待确认</t>
        </is>
      </c>
      <c r="R11" s="20" t="inlineStr">
        <is>
          <t>未开始</t>
        </is>
      </c>
      <c r="S11">
        <f>IF(B11="","",IF(E11="已暴露","DEV_REG_ONLY","ANY"))</f>
        <v/>
      </c>
    </row>
    <row r="12">
      <c r="A12" s="20" t="n">
        <v>9</v>
      </c>
      <c r="B12" s="20" t="str"/>
      <c r="C12" s="20" t="str"/>
      <c r="D12" s="20" t="str"/>
      <c r="E12" s="20" t="str"/>
      <c r="F12" s="20" t="inlineStr">
        <is>
          <t>PENDING</t>
        </is>
      </c>
      <c r="G12" s="20" t="inlineStr">
        <is>
          <t>PENDING</t>
        </is>
      </c>
      <c r="H12" s="20" t="inlineStr">
        <is>
          <t>PENDING</t>
        </is>
      </c>
      <c r="I12" s="20" t="inlineStr">
        <is>
          <t>PENDING</t>
        </is>
      </c>
      <c r="J12" s="20" t="inlineStr">
        <is>
          <t>PENDING</t>
        </is>
      </c>
      <c r="K12" s="20" t="inlineStr">
        <is>
          <t>待确认</t>
        </is>
      </c>
      <c r="L12" s="20">
        <f>IF(B12="","",IF(OR(F12="FAIL",K12="泄漏"),"DROP",IF(G12="FAIL","RELABEL",IF(OR(H12="FAIL",I12="FAIL",J12="FAIL"),"REWORK",IF(COUNTIF(F12:J12,"PENDING")&gt;0,"PENDING","REUSE")))))</f>
        <v/>
      </c>
      <c r="M12" s="20" t="inlineStr">
        <is>
          <t>PENDING</t>
        </is>
      </c>
      <c r="N12" s="20" t="str"/>
      <c r="O12" s="20" t="str"/>
      <c r="P12" s="20" t="str"/>
      <c r="Q12" s="20" t="inlineStr">
        <is>
          <t>待确认</t>
        </is>
      </c>
      <c r="R12" s="20" t="inlineStr">
        <is>
          <t>未开始</t>
        </is>
      </c>
      <c r="S12">
        <f>IF(B12="","",IF(E12="已暴露","DEV_REG_ONLY","ANY"))</f>
        <v/>
      </c>
    </row>
    <row r="13">
      <c r="A13" s="20" t="n">
        <v>10</v>
      </c>
      <c r="B13" s="20" t="str"/>
      <c r="C13" s="20" t="str"/>
      <c r="D13" s="20" t="str"/>
      <c r="E13" s="20" t="str"/>
      <c r="F13" s="20" t="inlineStr">
        <is>
          <t>PENDING</t>
        </is>
      </c>
      <c r="G13" s="20" t="inlineStr">
        <is>
          <t>PENDING</t>
        </is>
      </c>
      <c r="H13" s="20" t="inlineStr">
        <is>
          <t>PENDING</t>
        </is>
      </c>
      <c r="I13" s="20" t="inlineStr">
        <is>
          <t>PENDING</t>
        </is>
      </c>
      <c r="J13" s="20" t="inlineStr">
        <is>
          <t>PENDING</t>
        </is>
      </c>
      <c r="K13" s="20" t="inlineStr">
        <is>
          <t>待确认</t>
        </is>
      </c>
      <c r="L13" s="20">
        <f>IF(B13="","",IF(OR(F13="FAIL",K13="泄漏"),"DROP",IF(G13="FAIL","RELABEL",IF(OR(H13="FAIL",I13="FAIL",J13="FAIL"),"REWORK",IF(COUNTIF(F13:J13,"PENDING")&gt;0,"PENDING","REUSE")))))</f>
        <v/>
      </c>
      <c r="M13" s="20" t="inlineStr">
        <is>
          <t>PENDING</t>
        </is>
      </c>
      <c r="N13" s="20" t="str"/>
      <c r="O13" s="20" t="str"/>
      <c r="P13" s="20" t="str"/>
      <c r="Q13" s="20" t="inlineStr">
        <is>
          <t>待确认</t>
        </is>
      </c>
      <c r="R13" s="20" t="inlineStr">
        <is>
          <t>未开始</t>
        </is>
      </c>
      <c r="S13">
        <f>IF(B13="","",IF(E13="已暴露","DEV_REG_ONLY","ANY"))</f>
        <v/>
      </c>
    </row>
    <row r="14">
      <c r="A14" s="20" t="n">
        <v>11</v>
      </c>
      <c r="B14" s="20" t="str"/>
      <c r="C14" s="20" t="str"/>
      <c r="D14" s="20" t="str"/>
      <c r="E14" s="20" t="str"/>
      <c r="F14" s="20" t="inlineStr">
        <is>
          <t>PENDING</t>
        </is>
      </c>
      <c r="G14" s="20" t="inlineStr">
        <is>
          <t>PENDING</t>
        </is>
      </c>
      <c r="H14" s="20" t="inlineStr">
        <is>
          <t>PENDING</t>
        </is>
      </c>
      <c r="I14" s="20" t="inlineStr">
        <is>
          <t>PENDING</t>
        </is>
      </c>
      <c r="J14" s="20" t="inlineStr">
        <is>
          <t>PENDING</t>
        </is>
      </c>
      <c r="K14" s="20" t="inlineStr">
        <is>
          <t>待确认</t>
        </is>
      </c>
      <c r="L14" s="20">
        <f>IF(B14="","",IF(OR(F14="FAIL",K14="泄漏"),"DROP",IF(G14="FAIL","RELABEL",IF(OR(H14="FAIL",I14="FAIL",J14="FAIL"),"REWORK",IF(COUNTIF(F14:J14,"PENDING")&gt;0,"PENDING","REUSE")))))</f>
        <v/>
      </c>
      <c r="M14" s="20" t="inlineStr">
        <is>
          <t>PENDING</t>
        </is>
      </c>
      <c r="N14" s="20" t="str"/>
      <c r="O14" s="20" t="str"/>
      <c r="P14" s="20" t="str"/>
      <c r="Q14" s="20" t="inlineStr">
        <is>
          <t>待确认</t>
        </is>
      </c>
      <c r="R14" s="20" t="inlineStr">
        <is>
          <t>未开始</t>
        </is>
      </c>
      <c r="S14">
        <f>IF(B14="","",IF(E14="已暴露","DEV_REG_ONLY","ANY"))</f>
        <v/>
      </c>
    </row>
    <row r="15">
      <c r="A15" s="20" t="n">
        <v>12</v>
      </c>
      <c r="B15" s="20" t="str"/>
      <c r="C15" s="20" t="str"/>
      <c r="D15" s="20" t="str"/>
      <c r="E15" s="20" t="str"/>
      <c r="F15" s="20" t="inlineStr">
        <is>
          <t>PENDING</t>
        </is>
      </c>
      <c r="G15" s="20" t="inlineStr">
        <is>
          <t>PENDING</t>
        </is>
      </c>
      <c r="H15" s="20" t="inlineStr">
        <is>
          <t>PENDING</t>
        </is>
      </c>
      <c r="I15" s="20" t="inlineStr">
        <is>
          <t>PENDING</t>
        </is>
      </c>
      <c r="J15" s="20" t="inlineStr">
        <is>
          <t>PENDING</t>
        </is>
      </c>
      <c r="K15" s="20" t="inlineStr">
        <is>
          <t>待确认</t>
        </is>
      </c>
      <c r="L15" s="20">
        <f>IF(B15="","",IF(OR(F15="FAIL",K15="泄漏"),"DROP",IF(G15="FAIL","RELABEL",IF(OR(H15="FAIL",I15="FAIL",J15="FAIL"),"REWORK",IF(COUNTIF(F15:J15,"PENDING")&gt;0,"PENDING","REUSE")))))</f>
        <v/>
      </c>
      <c r="M15" s="20" t="inlineStr">
        <is>
          <t>PENDING</t>
        </is>
      </c>
      <c r="N15" s="20" t="str"/>
      <c r="O15" s="20" t="str"/>
      <c r="P15" s="20" t="str"/>
      <c r="Q15" s="20" t="inlineStr">
        <is>
          <t>待确认</t>
        </is>
      </c>
      <c r="R15" s="20" t="inlineStr">
        <is>
          <t>未开始</t>
        </is>
      </c>
      <c r="S15">
        <f>IF(B15="","",IF(E15="已暴露","DEV_REG_ONLY","ANY"))</f>
        <v/>
      </c>
    </row>
    <row r="16">
      <c r="A16" s="20" t="n">
        <v>13</v>
      </c>
      <c r="B16" s="20" t="str"/>
      <c r="C16" s="20" t="str"/>
      <c r="D16" s="20" t="str"/>
      <c r="E16" s="20" t="str"/>
      <c r="F16" s="20" t="inlineStr">
        <is>
          <t>PENDING</t>
        </is>
      </c>
      <c r="G16" s="20" t="inlineStr">
        <is>
          <t>PENDING</t>
        </is>
      </c>
      <c r="H16" s="20" t="inlineStr">
        <is>
          <t>PENDING</t>
        </is>
      </c>
      <c r="I16" s="20" t="inlineStr">
        <is>
          <t>PENDING</t>
        </is>
      </c>
      <c r="J16" s="20" t="inlineStr">
        <is>
          <t>PENDING</t>
        </is>
      </c>
      <c r="K16" s="20" t="inlineStr">
        <is>
          <t>待确认</t>
        </is>
      </c>
      <c r="L16" s="20">
        <f>IF(B16="","",IF(OR(F16="FAIL",K16="泄漏"),"DROP",IF(G16="FAIL","RELABEL",IF(OR(H16="FAIL",I16="FAIL",J16="FAIL"),"REWORK",IF(COUNTIF(F16:J16,"PENDING")&gt;0,"PENDING","REUSE")))))</f>
        <v/>
      </c>
      <c r="M16" s="20" t="inlineStr">
        <is>
          <t>PENDING</t>
        </is>
      </c>
      <c r="N16" s="20" t="str"/>
      <c r="O16" s="20" t="str"/>
      <c r="P16" s="20" t="str"/>
      <c r="Q16" s="20" t="inlineStr">
        <is>
          <t>待确认</t>
        </is>
      </c>
      <c r="R16" s="20" t="inlineStr">
        <is>
          <t>未开始</t>
        </is>
      </c>
      <c r="S16">
        <f>IF(B16="","",IF(E16="已暴露","DEV_REG_ONLY","ANY"))</f>
        <v/>
      </c>
    </row>
    <row r="17">
      <c r="A17" s="20" t="n">
        <v>14</v>
      </c>
      <c r="B17" s="20" t="str"/>
      <c r="C17" s="20" t="str"/>
      <c r="D17" s="20" t="str"/>
      <c r="E17" s="20" t="str"/>
      <c r="F17" s="20" t="inlineStr">
        <is>
          <t>PENDING</t>
        </is>
      </c>
      <c r="G17" s="20" t="inlineStr">
        <is>
          <t>PENDING</t>
        </is>
      </c>
      <c r="H17" s="20" t="inlineStr">
        <is>
          <t>PENDING</t>
        </is>
      </c>
      <c r="I17" s="20" t="inlineStr">
        <is>
          <t>PENDING</t>
        </is>
      </c>
      <c r="J17" s="20" t="inlineStr">
        <is>
          <t>PENDING</t>
        </is>
      </c>
      <c r="K17" s="20" t="inlineStr">
        <is>
          <t>待确认</t>
        </is>
      </c>
      <c r="L17" s="20">
        <f>IF(B17="","",IF(OR(F17="FAIL",K17="泄漏"),"DROP",IF(G17="FAIL","RELABEL",IF(OR(H17="FAIL",I17="FAIL",J17="FAIL"),"REWORK",IF(COUNTIF(F17:J17,"PENDING")&gt;0,"PENDING","REUSE")))))</f>
        <v/>
      </c>
      <c r="M17" s="20" t="inlineStr">
        <is>
          <t>PENDING</t>
        </is>
      </c>
      <c r="N17" s="20" t="str"/>
      <c r="O17" s="20" t="str"/>
      <c r="P17" s="20" t="str"/>
      <c r="Q17" s="20" t="inlineStr">
        <is>
          <t>待确认</t>
        </is>
      </c>
      <c r="R17" s="20" t="inlineStr">
        <is>
          <t>未开始</t>
        </is>
      </c>
      <c r="S17">
        <f>IF(B17="","",IF(E17="已暴露","DEV_REG_ONLY","ANY"))</f>
        <v/>
      </c>
    </row>
    <row r="18">
      <c r="A18" s="20" t="n">
        <v>15</v>
      </c>
      <c r="B18" s="20" t="str"/>
      <c r="C18" s="20" t="str"/>
      <c r="D18" s="20" t="str"/>
      <c r="E18" s="20" t="str"/>
      <c r="F18" s="20" t="inlineStr">
        <is>
          <t>PENDING</t>
        </is>
      </c>
      <c r="G18" s="20" t="inlineStr">
        <is>
          <t>PENDING</t>
        </is>
      </c>
      <c r="H18" s="20" t="inlineStr">
        <is>
          <t>PENDING</t>
        </is>
      </c>
      <c r="I18" s="20" t="inlineStr">
        <is>
          <t>PENDING</t>
        </is>
      </c>
      <c r="J18" s="20" t="inlineStr">
        <is>
          <t>PENDING</t>
        </is>
      </c>
      <c r="K18" s="20" t="inlineStr">
        <is>
          <t>待确认</t>
        </is>
      </c>
      <c r="L18" s="20">
        <f>IF(B18="","",IF(OR(F18="FAIL",K18="泄漏"),"DROP",IF(G18="FAIL","RELABEL",IF(OR(H18="FAIL",I18="FAIL",J18="FAIL"),"REWORK",IF(COUNTIF(F18:J18,"PENDING")&gt;0,"PENDING","REUSE")))))</f>
        <v/>
      </c>
      <c r="M18" s="20" t="inlineStr">
        <is>
          <t>PENDING</t>
        </is>
      </c>
      <c r="N18" s="20" t="str"/>
      <c r="O18" s="20" t="str"/>
      <c r="P18" s="20" t="str"/>
      <c r="Q18" s="20" t="inlineStr">
        <is>
          <t>待确认</t>
        </is>
      </c>
      <c r="R18" s="20" t="inlineStr">
        <is>
          <t>未开始</t>
        </is>
      </c>
      <c r="S18">
        <f>IF(B18="","",IF(E18="已暴露","DEV_REG_ONLY","ANY"))</f>
        <v/>
      </c>
    </row>
    <row r="19">
      <c r="A19" s="20" t="n">
        <v>16</v>
      </c>
      <c r="B19" s="20" t="str"/>
      <c r="C19" s="20" t="str"/>
      <c r="D19" s="20" t="str"/>
      <c r="E19" s="20" t="str"/>
      <c r="F19" s="20" t="inlineStr">
        <is>
          <t>PENDING</t>
        </is>
      </c>
      <c r="G19" s="20" t="inlineStr">
        <is>
          <t>PENDING</t>
        </is>
      </c>
      <c r="H19" s="20" t="inlineStr">
        <is>
          <t>PENDING</t>
        </is>
      </c>
      <c r="I19" s="20" t="inlineStr">
        <is>
          <t>PENDING</t>
        </is>
      </c>
      <c r="J19" s="20" t="inlineStr">
        <is>
          <t>PENDING</t>
        </is>
      </c>
      <c r="K19" s="20" t="inlineStr">
        <is>
          <t>待确认</t>
        </is>
      </c>
      <c r="L19" s="20">
        <f>IF(B19="","",IF(OR(F19="FAIL",K19="泄漏"),"DROP",IF(G19="FAIL","RELABEL",IF(OR(H19="FAIL",I19="FAIL",J19="FAIL"),"REWORK",IF(COUNTIF(F19:J19,"PENDING")&gt;0,"PENDING","REUSE")))))</f>
        <v/>
      </c>
      <c r="M19" s="20" t="inlineStr">
        <is>
          <t>PENDING</t>
        </is>
      </c>
      <c r="N19" s="20" t="str"/>
      <c r="O19" s="20" t="str"/>
      <c r="P19" s="20" t="str"/>
      <c r="Q19" s="20" t="inlineStr">
        <is>
          <t>待确认</t>
        </is>
      </c>
      <c r="R19" s="20" t="inlineStr">
        <is>
          <t>未开始</t>
        </is>
      </c>
      <c r="S19">
        <f>IF(B19="","",IF(E19="已暴露","DEV_REG_ONLY","ANY"))</f>
        <v/>
      </c>
    </row>
    <row r="20">
      <c r="A20" s="20" t="n">
        <v>17</v>
      </c>
      <c r="B20" s="20" t="str"/>
      <c r="C20" s="20" t="str"/>
      <c r="D20" s="20" t="str"/>
      <c r="E20" s="20" t="str"/>
      <c r="F20" s="20" t="inlineStr">
        <is>
          <t>PENDING</t>
        </is>
      </c>
      <c r="G20" s="20" t="inlineStr">
        <is>
          <t>PENDING</t>
        </is>
      </c>
      <c r="H20" s="20" t="inlineStr">
        <is>
          <t>PENDING</t>
        </is>
      </c>
      <c r="I20" s="20" t="inlineStr">
        <is>
          <t>PENDING</t>
        </is>
      </c>
      <c r="J20" s="20" t="inlineStr">
        <is>
          <t>PENDING</t>
        </is>
      </c>
      <c r="K20" s="20" t="inlineStr">
        <is>
          <t>待确认</t>
        </is>
      </c>
      <c r="L20" s="20">
        <f>IF(B20="","",IF(OR(F20="FAIL",K20="泄漏"),"DROP",IF(G20="FAIL","RELABEL",IF(OR(H20="FAIL",I20="FAIL",J20="FAIL"),"REWORK",IF(COUNTIF(F20:J20,"PENDING")&gt;0,"PENDING","REUSE")))))</f>
        <v/>
      </c>
      <c r="M20" s="20" t="inlineStr">
        <is>
          <t>PENDING</t>
        </is>
      </c>
      <c r="N20" s="20" t="str"/>
      <c r="O20" s="20" t="str"/>
      <c r="P20" s="20" t="str"/>
      <c r="Q20" s="20" t="inlineStr">
        <is>
          <t>待确认</t>
        </is>
      </c>
      <c r="R20" s="20" t="inlineStr">
        <is>
          <t>未开始</t>
        </is>
      </c>
      <c r="S20">
        <f>IF(B20="","",IF(E20="已暴露","DEV_REG_ONLY","ANY"))</f>
        <v/>
      </c>
    </row>
    <row r="21">
      <c r="A21" s="20" t="n">
        <v>18</v>
      </c>
      <c r="B21" s="20" t="str"/>
      <c r="C21" s="20" t="str"/>
      <c r="D21" s="20" t="str"/>
      <c r="E21" s="20" t="str"/>
      <c r="F21" s="20" t="inlineStr">
        <is>
          <t>PENDING</t>
        </is>
      </c>
      <c r="G21" s="20" t="inlineStr">
        <is>
          <t>PENDING</t>
        </is>
      </c>
      <c r="H21" s="20" t="inlineStr">
        <is>
          <t>PENDING</t>
        </is>
      </c>
      <c r="I21" s="20" t="inlineStr">
        <is>
          <t>PENDING</t>
        </is>
      </c>
      <c r="J21" s="20" t="inlineStr">
        <is>
          <t>PENDING</t>
        </is>
      </c>
      <c r="K21" s="20" t="inlineStr">
        <is>
          <t>待确认</t>
        </is>
      </c>
      <c r="L21" s="20">
        <f>IF(B21="","",IF(OR(F21="FAIL",K21="泄漏"),"DROP",IF(G21="FAIL","RELABEL",IF(OR(H21="FAIL",I21="FAIL",J21="FAIL"),"REWORK",IF(COUNTIF(F21:J21,"PENDING")&gt;0,"PENDING","REUSE")))))</f>
        <v/>
      </c>
      <c r="M21" s="20" t="inlineStr">
        <is>
          <t>PENDING</t>
        </is>
      </c>
      <c r="N21" s="20" t="str"/>
      <c r="O21" s="20" t="str"/>
      <c r="P21" s="20" t="str"/>
      <c r="Q21" s="20" t="inlineStr">
        <is>
          <t>待确认</t>
        </is>
      </c>
      <c r="R21" s="20" t="inlineStr">
        <is>
          <t>未开始</t>
        </is>
      </c>
      <c r="S21">
        <f>IF(B21="","",IF(E21="已暴露","DEV_REG_ONLY","ANY"))</f>
        <v/>
      </c>
    </row>
    <row r="22">
      <c r="A22" s="20" t="n">
        <v>19</v>
      </c>
      <c r="B22" s="20" t="str"/>
      <c r="C22" s="20" t="str"/>
      <c r="D22" s="20" t="str"/>
      <c r="E22" s="20" t="str"/>
      <c r="F22" s="20" t="inlineStr">
        <is>
          <t>PENDING</t>
        </is>
      </c>
      <c r="G22" s="20" t="inlineStr">
        <is>
          <t>PENDING</t>
        </is>
      </c>
      <c r="H22" s="20" t="inlineStr">
        <is>
          <t>PENDING</t>
        </is>
      </c>
      <c r="I22" s="20" t="inlineStr">
        <is>
          <t>PENDING</t>
        </is>
      </c>
      <c r="J22" s="20" t="inlineStr">
        <is>
          <t>PENDING</t>
        </is>
      </c>
      <c r="K22" s="20" t="inlineStr">
        <is>
          <t>待确认</t>
        </is>
      </c>
      <c r="L22" s="20">
        <f>IF(B22="","",IF(OR(F22="FAIL",K22="泄漏"),"DROP",IF(G22="FAIL","RELABEL",IF(OR(H22="FAIL",I22="FAIL",J22="FAIL"),"REWORK",IF(COUNTIF(F22:J22,"PENDING")&gt;0,"PENDING","REUSE")))))</f>
        <v/>
      </c>
      <c r="M22" s="20" t="inlineStr">
        <is>
          <t>PENDING</t>
        </is>
      </c>
      <c r="N22" s="20" t="str"/>
      <c r="O22" s="20" t="str"/>
      <c r="P22" s="20" t="str"/>
      <c r="Q22" s="20" t="inlineStr">
        <is>
          <t>待确认</t>
        </is>
      </c>
      <c r="R22" s="20" t="inlineStr">
        <is>
          <t>未开始</t>
        </is>
      </c>
      <c r="S22">
        <f>IF(B22="","",IF(E22="已暴露","DEV_REG_ONLY","ANY"))</f>
        <v/>
      </c>
    </row>
    <row r="23">
      <c r="A23" s="20" t="n">
        <v>20</v>
      </c>
      <c r="B23" s="20" t="str"/>
      <c r="C23" s="20" t="str"/>
      <c r="D23" s="20" t="str"/>
      <c r="E23" s="20" t="str"/>
      <c r="F23" s="20" t="inlineStr">
        <is>
          <t>PENDING</t>
        </is>
      </c>
      <c r="G23" s="20" t="inlineStr">
        <is>
          <t>PENDING</t>
        </is>
      </c>
      <c r="H23" s="20" t="inlineStr">
        <is>
          <t>PENDING</t>
        </is>
      </c>
      <c r="I23" s="20" t="inlineStr">
        <is>
          <t>PENDING</t>
        </is>
      </c>
      <c r="J23" s="20" t="inlineStr">
        <is>
          <t>PENDING</t>
        </is>
      </c>
      <c r="K23" s="20" t="inlineStr">
        <is>
          <t>待确认</t>
        </is>
      </c>
      <c r="L23" s="20">
        <f>IF(B23="","",IF(OR(F23="FAIL",K23="泄漏"),"DROP",IF(G23="FAIL","RELABEL",IF(OR(H23="FAIL",I23="FAIL",J23="FAIL"),"REWORK",IF(COUNTIF(F23:J23,"PENDING")&gt;0,"PENDING","REUSE")))))</f>
        <v/>
      </c>
      <c r="M23" s="20" t="inlineStr">
        <is>
          <t>PENDING</t>
        </is>
      </c>
      <c r="N23" s="20" t="str"/>
      <c r="O23" s="20" t="str"/>
      <c r="P23" s="20" t="str"/>
      <c r="Q23" s="20" t="inlineStr">
        <is>
          <t>待确认</t>
        </is>
      </c>
      <c r="R23" s="20" t="inlineStr">
        <is>
          <t>未开始</t>
        </is>
      </c>
      <c r="S23">
        <f>IF(B23="","",IF(E23="已暴露","DEV_REG_ONLY","ANY"))</f>
        <v/>
      </c>
    </row>
    <row r="24">
      <c r="A24" s="20" t="n">
        <v>21</v>
      </c>
      <c r="B24" s="20" t="str"/>
      <c r="C24" s="20" t="str"/>
      <c r="D24" s="20" t="str"/>
      <c r="E24" s="20" t="str"/>
      <c r="F24" s="20" t="inlineStr">
        <is>
          <t>PENDING</t>
        </is>
      </c>
      <c r="G24" s="20" t="inlineStr">
        <is>
          <t>PENDING</t>
        </is>
      </c>
      <c r="H24" s="20" t="inlineStr">
        <is>
          <t>PENDING</t>
        </is>
      </c>
      <c r="I24" s="20" t="inlineStr">
        <is>
          <t>PENDING</t>
        </is>
      </c>
      <c r="J24" s="20" t="inlineStr">
        <is>
          <t>PENDING</t>
        </is>
      </c>
      <c r="K24" s="20" t="inlineStr">
        <is>
          <t>待确认</t>
        </is>
      </c>
      <c r="L24" s="20">
        <f>IF(B24="","",IF(OR(F24="FAIL",K24="泄漏"),"DROP",IF(G24="FAIL","RELABEL",IF(OR(H24="FAIL",I24="FAIL",J24="FAIL"),"REWORK",IF(COUNTIF(F24:J24,"PENDING")&gt;0,"PENDING","REUSE")))))</f>
        <v/>
      </c>
      <c r="M24" s="20" t="inlineStr">
        <is>
          <t>PENDING</t>
        </is>
      </c>
      <c r="N24" s="20" t="str"/>
      <c r="O24" s="20" t="str"/>
      <c r="P24" s="20" t="str"/>
      <c r="Q24" s="20" t="inlineStr">
        <is>
          <t>待确认</t>
        </is>
      </c>
      <c r="R24" s="20" t="inlineStr">
        <is>
          <t>未开始</t>
        </is>
      </c>
      <c r="S24">
        <f>IF(B24="","",IF(E24="已暴露","DEV_REG_ONLY","ANY"))</f>
        <v/>
      </c>
    </row>
    <row r="25">
      <c r="A25" s="20" t="n">
        <v>22</v>
      </c>
      <c r="B25" s="20" t="str"/>
      <c r="C25" s="20" t="str"/>
      <c r="D25" s="20" t="str"/>
      <c r="E25" s="20" t="str"/>
      <c r="F25" s="20" t="inlineStr">
        <is>
          <t>PENDING</t>
        </is>
      </c>
      <c r="G25" s="20" t="inlineStr">
        <is>
          <t>PENDING</t>
        </is>
      </c>
      <c r="H25" s="20" t="inlineStr">
        <is>
          <t>PENDING</t>
        </is>
      </c>
      <c r="I25" s="20" t="inlineStr">
        <is>
          <t>PENDING</t>
        </is>
      </c>
      <c r="J25" s="20" t="inlineStr">
        <is>
          <t>PENDING</t>
        </is>
      </c>
      <c r="K25" s="20" t="inlineStr">
        <is>
          <t>待确认</t>
        </is>
      </c>
      <c r="L25" s="20">
        <f>IF(B25="","",IF(OR(F25="FAIL",K25="泄漏"),"DROP",IF(G25="FAIL","RELABEL",IF(OR(H25="FAIL",I25="FAIL",J25="FAIL"),"REWORK",IF(COUNTIF(F25:J25,"PENDING")&gt;0,"PENDING","REUSE")))))</f>
        <v/>
      </c>
      <c r="M25" s="20" t="inlineStr">
        <is>
          <t>PENDING</t>
        </is>
      </c>
      <c r="N25" s="20" t="str"/>
      <c r="O25" s="20" t="str"/>
      <c r="P25" s="20" t="str"/>
      <c r="Q25" s="20" t="inlineStr">
        <is>
          <t>待确认</t>
        </is>
      </c>
      <c r="R25" s="20" t="inlineStr">
        <is>
          <t>未开始</t>
        </is>
      </c>
      <c r="S25">
        <f>IF(B25="","",IF(E25="已暴露","DEV_REG_ONLY","ANY"))</f>
        <v/>
      </c>
    </row>
    <row r="26">
      <c r="A26" s="20" t="n">
        <v>23</v>
      </c>
      <c r="B26" s="20" t="str"/>
      <c r="C26" s="20" t="str"/>
      <c r="D26" s="20" t="str"/>
      <c r="E26" s="20" t="str"/>
      <c r="F26" s="20" t="inlineStr">
        <is>
          <t>PENDING</t>
        </is>
      </c>
      <c r="G26" s="20" t="inlineStr">
        <is>
          <t>PENDING</t>
        </is>
      </c>
      <c r="H26" s="20" t="inlineStr">
        <is>
          <t>PENDING</t>
        </is>
      </c>
      <c r="I26" s="20" t="inlineStr">
        <is>
          <t>PENDING</t>
        </is>
      </c>
      <c r="J26" s="20" t="inlineStr">
        <is>
          <t>PENDING</t>
        </is>
      </c>
      <c r="K26" s="20" t="inlineStr">
        <is>
          <t>待确认</t>
        </is>
      </c>
      <c r="L26" s="20">
        <f>IF(B26="","",IF(OR(F26="FAIL",K26="泄漏"),"DROP",IF(G26="FAIL","RELABEL",IF(OR(H26="FAIL",I26="FAIL",J26="FAIL"),"REWORK",IF(COUNTIF(F26:J26,"PENDING")&gt;0,"PENDING","REUSE")))))</f>
        <v/>
      </c>
      <c r="M26" s="20" t="inlineStr">
        <is>
          <t>PENDING</t>
        </is>
      </c>
      <c r="N26" s="20" t="str"/>
      <c r="O26" s="20" t="str"/>
      <c r="P26" s="20" t="str"/>
      <c r="Q26" s="20" t="inlineStr">
        <is>
          <t>待确认</t>
        </is>
      </c>
      <c r="R26" s="20" t="inlineStr">
        <is>
          <t>未开始</t>
        </is>
      </c>
      <c r="S26">
        <f>IF(B26="","",IF(E26="已暴露","DEV_REG_ONLY","ANY"))</f>
        <v/>
      </c>
    </row>
    <row r="27">
      <c r="A27" s="20" t="n">
        <v>24</v>
      </c>
      <c r="B27" s="20" t="str"/>
      <c r="C27" s="20" t="str"/>
      <c r="D27" s="20" t="str"/>
      <c r="E27" s="20" t="str"/>
      <c r="F27" s="20" t="inlineStr">
        <is>
          <t>PENDING</t>
        </is>
      </c>
      <c r="G27" s="20" t="inlineStr">
        <is>
          <t>PENDING</t>
        </is>
      </c>
      <c r="H27" s="20" t="inlineStr">
        <is>
          <t>PENDING</t>
        </is>
      </c>
      <c r="I27" s="20" t="inlineStr">
        <is>
          <t>PENDING</t>
        </is>
      </c>
      <c r="J27" s="20" t="inlineStr">
        <is>
          <t>PENDING</t>
        </is>
      </c>
      <c r="K27" s="20" t="inlineStr">
        <is>
          <t>待确认</t>
        </is>
      </c>
      <c r="L27" s="20">
        <f>IF(B27="","",IF(OR(F27="FAIL",K27="泄漏"),"DROP",IF(G27="FAIL","RELABEL",IF(OR(H27="FAIL",I27="FAIL",J27="FAIL"),"REWORK",IF(COUNTIF(F27:J27,"PENDING")&gt;0,"PENDING","REUSE")))))</f>
        <v/>
      </c>
      <c r="M27" s="20" t="inlineStr">
        <is>
          <t>PENDING</t>
        </is>
      </c>
      <c r="N27" s="20" t="str"/>
      <c r="O27" s="20" t="str"/>
      <c r="P27" s="20" t="str"/>
      <c r="Q27" s="20" t="inlineStr">
        <is>
          <t>待确认</t>
        </is>
      </c>
      <c r="R27" s="20" t="inlineStr">
        <is>
          <t>未开始</t>
        </is>
      </c>
      <c r="S27">
        <f>IF(B27="","",IF(E27="已暴露","DEV_REG_ONLY","ANY"))</f>
        <v/>
      </c>
    </row>
    <row r="28">
      <c r="A28" s="20" t="n">
        <v>25</v>
      </c>
      <c r="B28" s="20" t="str"/>
      <c r="C28" s="20" t="str"/>
      <c r="D28" s="20" t="str"/>
      <c r="E28" s="20" t="str"/>
      <c r="F28" s="20" t="inlineStr">
        <is>
          <t>PENDING</t>
        </is>
      </c>
      <c r="G28" s="20" t="inlineStr">
        <is>
          <t>PENDING</t>
        </is>
      </c>
      <c r="H28" s="20" t="inlineStr">
        <is>
          <t>PENDING</t>
        </is>
      </c>
      <c r="I28" s="20" t="inlineStr">
        <is>
          <t>PENDING</t>
        </is>
      </c>
      <c r="J28" s="20" t="inlineStr">
        <is>
          <t>PENDING</t>
        </is>
      </c>
      <c r="K28" s="20" t="inlineStr">
        <is>
          <t>待确认</t>
        </is>
      </c>
      <c r="L28" s="20">
        <f>IF(B28="","",IF(OR(F28="FAIL",K28="泄漏"),"DROP",IF(G28="FAIL","RELABEL",IF(OR(H28="FAIL",I28="FAIL",J28="FAIL"),"REWORK",IF(COUNTIF(F28:J28,"PENDING")&gt;0,"PENDING","REUSE")))))</f>
        <v/>
      </c>
      <c r="M28" s="20" t="inlineStr">
        <is>
          <t>PENDING</t>
        </is>
      </c>
      <c r="N28" s="20" t="str"/>
      <c r="O28" s="20" t="str"/>
      <c r="P28" s="20" t="str"/>
      <c r="Q28" s="20" t="inlineStr">
        <is>
          <t>待确认</t>
        </is>
      </c>
      <c r="R28" s="20" t="inlineStr">
        <is>
          <t>未开始</t>
        </is>
      </c>
      <c r="S28">
        <f>IF(B28="","",IF(E28="已暴露","DEV_REG_ONLY","ANY"))</f>
        <v/>
      </c>
    </row>
    <row r="29">
      <c r="A29" s="20" t="n">
        <v>26</v>
      </c>
      <c r="B29" s="20" t="str"/>
      <c r="C29" s="20" t="str"/>
      <c r="D29" s="20" t="str"/>
      <c r="E29" s="20" t="str"/>
      <c r="F29" s="20" t="inlineStr">
        <is>
          <t>PENDING</t>
        </is>
      </c>
      <c r="G29" s="20" t="inlineStr">
        <is>
          <t>PENDING</t>
        </is>
      </c>
      <c r="H29" s="20" t="inlineStr">
        <is>
          <t>PENDING</t>
        </is>
      </c>
      <c r="I29" s="20" t="inlineStr">
        <is>
          <t>PENDING</t>
        </is>
      </c>
      <c r="J29" s="20" t="inlineStr">
        <is>
          <t>PENDING</t>
        </is>
      </c>
      <c r="K29" s="20" t="inlineStr">
        <is>
          <t>待确认</t>
        </is>
      </c>
      <c r="L29" s="20">
        <f>IF(B29="","",IF(OR(F29="FAIL",K29="泄漏"),"DROP",IF(G29="FAIL","RELABEL",IF(OR(H29="FAIL",I29="FAIL",J29="FAIL"),"REWORK",IF(COUNTIF(F29:J29,"PENDING")&gt;0,"PENDING","REUSE")))))</f>
        <v/>
      </c>
      <c r="M29" s="20" t="inlineStr">
        <is>
          <t>PENDING</t>
        </is>
      </c>
      <c r="N29" s="20" t="str"/>
      <c r="O29" s="20" t="str"/>
      <c r="P29" s="20" t="str"/>
      <c r="Q29" s="20" t="inlineStr">
        <is>
          <t>待确认</t>
        </is>
      </c>
      <c r="R29" s="20" t="inlineStr">
        <is>
          <t>未开始</t>
        </is>
      </c>
      <c r="S29">
        <f>IF(B29="","",IF(E29="已暴露","DEV_REG_ONLY","ANY"))</f>
        <v/>
      </c>
    </row>
    <row r="30">
      <c r="A30" s="20" t="n">
        <v>27</v>
      </c>
      <c r="B30" s="20" t="str"/>
      <c r="C30" s="20" t="str"/>
      <c r="D30" s="20" t="str"/>
      <c r="E30" s="20" t="str"/>
      <c r="F30" s="20" t="inlineStr">
        <is>
          <t>PENDING</t>
        </is>
      </c>
      <c r="G30" s="20" t="inlineStr">
        <is>
          <t>PENDING</t>
        </is>
      </c>
      <c r="H30" s="20" t="inlineStr">
        <is>
          <t>PENDING</t>
        </is>
      </c>
      <c r="I30" s="20" t="inlineStr">
        <is>
          <t>PENDING</t>
        </is>
      </c>
      <c r="J30" s="20" t="inlineStr">
        <is>
          <t>PENDING</t>
        </is>
      </c>
      <c r="K30" s="20" t="inlineStr">
        <is>
          <t>待确认</t>
        </is>
      </c>
      <c r="L30" s="20">
        <f>IF(B30="","",IF(OR(F30="FAIL",K30="泄漏"),"DROP",IF(G30="FAIL","RELABEL",IF(OR(H30="FAIL",I30="FAIL",J30="FAIL"),"REWORK",IF(COUNTIF(F30:J30,"PENDING")&gt;0,"PENDING","REUSE")))))</f>
        <v/>
      </c>
      <c r="M30" s="20" t="inlineStr">
        <is>
          <t>PENDING</t>
        </is>
      </c>
      <c r="N30" s="20" t="str"/>
      <c r="O30" s="20" t="str"/>
      <c r="P30" s="20" t="str"/>
      <c r="Q30" s="20" t="inlineStr">
        <is>
          <t>待确认</t>
        </is>
      </c>
      <c r="R30" s="20" t="inlineStr">
        <is>
          <t>未开始</t>
        </is>
      </c>
      <c r="S30">
        <f>IF(B30="","",IF(E30="已暴露","DEV_REG_ONLY","ANY"))</f>
        <v/>
      </c>
    </row>
    <row r="31">
      <c r="A31" s="20" t="n">
        <v>28</v>
      </c>
      <c r="B31" s="20" t="str"/>
      <c r="C31" s="20" t="str"/>
      <c r="D31" s="20" t="str"/>
      <c r="E31" s="20" t="str"/>
      <c r="F31" s="20" t="inlineStr">
        <is>
          <t>PENDING</t>
        </is>
      </c>
      <c r="G31" s="20" t="inlineStr">
        <is>
          <t>PENDING</t>
        </is>
      </c>
      <c r="H31" s="20" t="inlineStr">
        <is>
          <t>PENDING</t>
        </is>
      </c>
      <c r="I31" s="20" t="inlineStr">
        <is>
          <t>PENDING</t>
        </is>
      </c>
      <c r="J31" s="20" t="inlineStr">
        <is>
          <t>PENDING</t>
        </is>
      </c>
      <c r="K31" s="20" t="inlineStr">
        <is>
          <t>待确认</t>
        </is>
      </c>
      <c r="L31" s="20">
        <f>IF(B31="","",IF(OR(F31="FAIL",K31="泄漏"),"DROP",IF(G31="FAIL","RELABEL",IF(OR(H31="FAIL",I31="FAIL",J31="FAIL"),"REWORK",IF(COUNTIF(F31:J31,"PENDING")&gt;0,"PENDING","REUSE")))))</f>
        <v/>
      </c>
      <c r="M31" s="20" t="inlineStr">
        <is>
          <t>PENDING</t>
        </is>
      </c>
      <c r="N31" s="20" t="str"/>
      <c r="O31" s="20" t="str"/>
      <c r="P31" s="20" t="str"/>
      <c r="Q31" s="20" t="inlineStr">
        <is>
          <t>待确认</t>
        </is>
      </c>
      <c r="R31" s="20" t="inlineStr">
        <is>
          <t>未开始</t>
        </is>
      </c>
      <c r="S31">
        <f>IF(B31="","",IF(E31="已暴露","DEV_REG_ONLY","ANY"))</f>
        <v/>
      </c>
    </row>
    <row r="32">
      <c r="A32" s="20" t="n">
        <v>29</v>
      </c>
      <c r="B32" s="20" t="str"/>
      <c r="C32" s="20" t="str"/>
      <c r="D32" s="20" t="str"/>
      <c r="E32" s="20" t="str"/>
      <c r="F32" s="20" t="inlineStr">
        <is>
          <t>PENDING</t>
        </is>
      </c>
      <c r="G32" s="20" t="inlineStr">
        <is>
          <t>PENDING</t>
        </is>
      </c>
      <c r="H32" s="20" t="inlineStr">
        <is>
          <t>PENDING</t>
        </is>
      </c>
      <c r="I32" s="20" t="inlineStr">
        <is>
          <t>PENDING</t>
        </is>
      </c>
      <c r="J32" s="20" t="inlineStr">
        <is>
          <t>PENDING</t>
        </is>
      </c>
      <c r="K32" s="20" t="inlineStr">
        <is>
          <t>待确认</t>
        </is>
      </c>
      <c r="L32" s="20">
        <f>IF(B32="","",IF(OR(F32="FAIL",K32="泄漏"),"DROP",IF(G32="FAIL","RELABEL",IF(OR(H32="FAIL",I32="FAIL",J32="FAIL"),"REWORK",IF(COUNTIF(F32:J32,"PENDING")&gt;0,"PENDING","REUSE")))))</f>
        <v/>
      </c>
      <c r="M32" s="20" t="inlineStr">
        <is>
          <t>PENDING</t>
        </is>
      </c>
      <c r="N32" s="20" t="str"/>
      <c r="O32" s="20" t="str"/>
      <c r="P32" s="20" t="str"/>
      <c r="Q32" s="20" t="inlineStr">
        <is>
          <t>待确认</t>
        </is>
      </c>
      <c r="R32" s="20" t="inlineStr">
        <is>
          <t>未开始</t>
        </is>
      </c>
      <c r="S32">
        <f>IF(B32="","",IF(E32="已暴露","DEV_REG_ONLY","ANY"))</f>
        <v/>
      </c>
    </row>
    <row r="33">
      <c r="A33" s="20" t="n">
        <v>30</v>
      </c>
      <c r="B33" s="20" t="str"/>
      <c r="C33" s="20" t="str"/>
      <c r="D33" s="20" t="str"/>
      <c r="E33" s="20" t="str"/>
      <c r="F33" s="20" t="inlineStr">
        <is>
          <t>PENDING</t>
        </is>
      </c>
      <c r="G33" s="20" t="inlineStr">
        <is>
          <t>PENDING</t>
        </is>
      </c>
      <c r="H33" s="20" t="inlineStr">
        <is>
          <t>PENDING</t>
        </is>
      </c>
      <c r="I33" s="20" t="inlineStr">
        <is>
          <t>PENDING</t>
        </is>
      </c>
      <c r="J33" s="20" t="inlineStr">
        <is>
          <t>PENDING</t>
        </is>
      </c>
      <c r="K33" s="20" t="inlineStr">
        <is>
          <t>待确认</t>
        </is>
      </c>
      <c r="L33" s="20">
        <f>IF(B33="","",IF(OR(F33="FAIL",K33="泄漏"),"DROP",IF(G33="FAIL","RELABEL",IF(OR(H33="FAIL",I33="FAIL",J33="FAIL"),"REWORK",IF(COUNTIF(F33:J33,"PENDING")&gt;0,"PENDING","REUSE")))))</f>
        <v/>
      </c>
      <c r="M33" s="20" t="inlineStr">
        <is>
          <t>PENDING</t>
        </is>
      </c>
      <c r="N33" s="20" t="str"/>
      <c r="O33" s="20" t="str"/>
      <c r="P33" s="20" t="str"/>
      <c r="Q33" s="20" t="inlineStr">
        <is>
          <t>待确认</t>
        </is>
      </c>
      <c r="R33" s="20" t="inlineStr">
        <is>
          <t>未开始</t>
        </is>
      </c>
      <c r="S33">
        <f>IF(B33="","",IF(E33="已暴露","DEV_REG_ONLY","ANY"))</f>
        <v/>
      </c>
    </row>
    <row r="34">
      <c r="A34" s="20" t="n">
        <v>31</v>
      </c>
      <c r="B34" s="20" t="str"/>
      <c r="C34" s="20" t="str"/>
      <c r="D34" s="20" t="str"/>
      <c r="E34" s="20" t="str"/>
      <c r="F34" s="20" t="inlineStr">
        <is>
          <t>PENDING</t>
        </is>
      </c>
      <c r="G34" s="20" t="inlineStr">
        <is>
          <t>PENDING</t>
        </is>
      </c>
      <c r="H34" s="20" t="inlineStr">
        <is>
          <t>PENDING</t>
        </is>
      </c>
      <c r="I34" s="20" t="inlineStr">
        <is>
          <t>PENDING</t>
        </is>
      </c>
      <c r="J34" s="20" t="inlineStr">
        <is>
          <t>PENDING</t>
        </is>
      </c>
      <c r="K34" s="20" t="inlineStr">
        <is>
          <t>待确认</t>
        </is>
      </c>
      <c r="L34" s="20">
        <f>IF(B34="","",IF(OR(F34="FAIL",K34="泄漏"),"DROP",IF(G34="FAIL","RELABEL",IF(OR(H34="FAIL",I34="FAIL",J34="FAIL"),"REWORK",IF(COUNTIF(F34:J34,"PENDING")&gt;0,"PENDING","REUSE")))))</f>
        <v/>
      </c>
      <c r="M34" s="20" t="inlineStr">
        <is>
          <t>PENDING</t>
        </is>
      </c>
      <c r="N34" s="20" t="str"/>
      <c r="O34" s="20" t="str"/>
      <c r="P34" s="20" t="str"/>
      <c r="Q34" s="20" t="inlineStr">
        <is>
          <t>待确认</t>
        </is>
      </c>
      <c r="R34" s="20" t="inlineStr">
        <is>
          <t>未开始</t>
        </is>
      </c>
      <c r="S34">
        <f>IF(B34="","",IF(E34="已暴露","DEV_REG_ONLY","ANY"))</f>
        <v/>
      </c>
    </row>
    <row r="35">
      <c r="A35" s="20" t="n">
        <v>32</v>
      </c>
      <c r="B35" s="20" t="str"/>
      <c r="C35" s="20" t="str"/>
      <c r="D35" s="20" t="str"/>
      <c r="E35" s="20" t="str"/>
      <c r="F35" s="20" t="inlineStr">
        <is>
          <t>PENDING</t>
        </is>
      </c>
      <c r="G35" s="20" t="inlineStr">
        <is>
          <t>PENDING</t>
        </is>
      </c>
      <c r="H35" s="20" t="inlineStr">
        <is>
          <t>PENDING</t>
        </is>
      </c>
      <c r="I35" s="20" t="inlineStr">
        <is>
          <t>PENDING</t>
        </is>
      </c>
      <c r="J35" s="20" t="inlineStr">
        <is>
          <t>PENDING</t>
        </is>
      </c>
      <c r="K35" s="20" t="inlineStr">
        <is>
          <t>待确认</t>
        </is>
      </c>
      <c r="L35" s="20">
        <f>IF(B35="","",IF(OR(F35="FAIL",K35="泄漏"),"DROP",IF(G35="FAIL","RELABEL",IF(OR(H35="FAIL",I35="FAIL",J35="FAIL"),"REWORK",IF(COUNTIF(F35:J35,"PENDING")&gt;0,"PENDING","REUSE")))))</f>
        <v/>
      </c>
      <c r="M35" s="20" t="inlineStr">
        <is>
          <t>PENDING</t>
        </is>
      </c>
      <c r="N35" s="20" t="str"/>
      <c r="O35" s="20" t="str"/>
      <c r="P35" s="20" t="str"/>
      <c r="Q35" s="20" t="inlineStr">
        <is>
          <t>待确认</t>
        </is>
      </c>
      <c r="R35" s="20" t="inlineStr">
        <is>
          <t>未开始</t>
        </is>
      </c>
      <c r="S35">
        <f>IF(B35="","",IF(E35="已暴露","DEV_REG_ONLY","ANY"))</f>
        <v/>
      </c>
    </row>
    <row r="36">
      <c r="A36" s="20" t="n">
        <v>33</v>
      </c>
      <c r="B36" s="20" t="str"/>
      <c r="C36" s="20" t="str"/>
      <c r="D36" s="20" t="str"/>
      <c r="E36" s="20" t="str"/>
      <c r="F36" s="20" t="inlineStr">
        <is>
          <t>PENDING</t>
        </is>
      </c>
      <c r="G36" s="20" t="inlineStr">
        <is>
          <t>PENDING</t>
        </is>
      </c>
      <c r="H36" s="20" t="inlineStr">
        <is>
          <t>PENDING</t>
        </is>
      </c>
      <c r="I36" s="20" t="inlineStr">
        <is>
          <t>PENDING</t>
        </is>
      </c>
      <c r="J36" s="20" t="inlineStr">
        <is>
          <t>PENDING</t>
        </is>
      </c>
      <c r="K36" s="20" t="inlineStr">
        <is>
          <t>待确认</t>
        </is>
      </c>
      <c r="L36" s="20">
        <f>IF(B36="","",IF(OR(F36="FAIL",K36="泄漏"),"DROP",IF(G36="FAIL","RELABEL",IF(OR(H36="FAIL",I36="FAIL",J36="FAIL"),"REWORK",IF(COUNTIF(F36:J36,"PENDING")&gt;0,"PENDING","REUSE")))))</f>
        <v/>
      </c>
      <c r="M36" s="20" t="inlineStr">
        <is>
          <t>PENDING</t>
        </is>
      </c>
      <c r="N36" s="20" t="str"/>
      <c r="O36" s="20" t="str"/>
      <c r="P36" s="20" t="str"/>
      <c r="Q36" s="20" t="inlineStr">
        <is>
          <t>待确认</t>
        </is>
      </c>
      <c r="R36" s="20" t="inlineStr">
        <is>
          <t>未开始</t>
        </is>
      </c>
      <c r="S36">
        <f>IF(B36="","",IF(E36="已暴露","DEV_REG_ONLY","ANY"))</f>
        <v/>
      </c>
    </row>
    <row r="37">
      <c r="A37" s="20" t="n">
        <v>34</v>
      </c>
      <c r="B37" s="20" t="str"/>
      <c r="C37" s="20" t="str"/>
      <c r="D37" s="20" t="str"/>
      <c r="E37" s="20" t="str"/>
      <c r="F37" s="20" t="inlineStr">
        <is>
          <t>PENDING</t>
        </is>
      </c>
      <c r="G37" s="20" t="inlineStr">
        <is>
          <t>PENDING</t>
        </is>
      </c>
      <c r="H37" s="20" t="inlineStr">
        <is>
          <t>PENDING</t>
        </is>
      </c>
      <c r="I37" s="20" t="inlineStr">
        <is>
          <t>PENDING</t>
        </is>
      </c>
      <c r="J37" s="20" t="inlineStr">
        <is>
          <t>PENDING</t>
        </is>
      </c>
      <c r="K37" s="20" t="inlineStr">
        <is>
          <t>待确认</t>
        </is>
      </c>
      <c r="L37" s="20">
        <f>IF(B37="","",IF(OR(F37="FAIL",K37="泄漏"),"DROP",IF(G37="FAIL","RELABEL",IF(OR(H37="FAIL",I37="FAIL",J37="FAIL"),"REWORK",IF(COUNTIF(F37:J37,"PENDING")&gt;0,"PENDING","REUSE")))))</f>
        <v/>
      </c>
      <c r="M37" s="20" t="inlineStr">
        <is>
          <t>PENDING</t>
        </is>
      </c>
      <c r="N37" s="20" t="str"/>
      <c r="O37" s="20" t="str"/>
      <c r="P37" s="20" t="str"/>
      <c r="Q37" s="20" t="inlineStr">
        <is>
          <t>待确认</t>
        </is>
      </c>
      <c r="R37" s="20" t="inlineStr">
        <is>
          <t>未开始</t>
        </is>
      </c>
      <c r="S37">
        <f>IF(B37="","",IF(E37="已暴露","DEV_REG_ONLY","ANY"))</f>
        <v/>
      </c>
    </row>
    <row r="38">
      <c r="A38" s="20" t="n">
        <v>35</v>
      </c>
      <c r="B38" s="20" t="str"/>
      <c r="C38" s="20" t="str"/>
      <c r="D38" s="20" t="str"/>
      <c r="E38" s="20" t="str"/>
      <c r="F38" s="20" t="inlineStr">
        <is>
          <t>PENDING</t>
        </is>
      </c>
      <c r="G38" s="20" t="inlineStr">
        <is>
          <t>PENDING</t>
        </is>
      </c>
      <c r="H38" s="20" t="inlineStr">
        <is>
          <t>PENDING</t>
        </is>
      </c>
      <c r="I38" s="20" t="inlineStr">
        <is>
          <t>PENDING</t>
        </is>
      </c>
      <c r="J38" s="20" t="inlineStr">
        <is>
          <t>PENDING</t>
        </is>
      </c>
      <c r="K38" s="20" t="inlineStr">
        <is>
          <t>待确认</t>
        </is>
      </c>
      <c r="L38" s="20">
        <f>IF(B38="","",IF(OR(F38="FAIL",K38="泄漏"),"DROP",IF(G38="FAIL","RELABEL",IF(OR(H38="FAIL",I38="FAIL",J38="FAIL"),"REWORK",IF(COUNTIF(F38:J38,"PENDING")&gt;0,"PENDING","REUSE")))))</f>
        <v/>
      </c>
      <c r="M38" s="20" t="inlineStr">
        <is>
          <t>PENDING</t>
        </is>
      </c>
      <c r="N38" s="20" t="str"/>
      <c r="O38" s="20" t="str"/>
      <c r="P38" s="20" t="str"/>
      <c r="Q38" s="20" t="inlineStr">
        <is>
          <t>待确认</t>
        </is>
      </c>
      <c r="R38" s="20" t="inlineStr">
        <is>
          <t>未开始</t>
        </is>
      </c>
      <c r="S38">
        <f>IF(B38="","",IF(E38="已暴露","DEV_REG_ONLY","ANY"))</f>
        <v/>
      </c>
    </row>
    <row r="39">
      <c r="A39" s="20" t="n">
        <v>36</v>
      </c>
      <c r="B39" s="20" t="str"/>
      <c r="C39" s="20" t="str"/>
      <c r="D39" s="20" t="str"/>
      <c r="E39" s="20" t="str"/>
      <c r="F39" s="20" t="inlineStr">
        <is>
          <t>PENDING</t>
        </is>
      </c>
      <c r="G39" s="20" t="inlineStr">
        <is>
          <t>PENDING</t>
        </is>
      </c>
      <c r="H39" s="20" t="inlineStr">
        <is>
          <t>PENDING</t>
        </is>
      </c>
      <c r="I39" s="20" t="inlineStr">
        <is>
          <t>PENDING</t>
        </is>
      </c>
      <c r="J39" s="20" t="inlineStr">
        <is>
          <t>PENDING</t>
        </is>
      </c>
      <c r="K39" s="20" t="inlineStr">
        <is>
          <t>待确认</t>
        </is>
      </c>
      <c r="L39" s="20">
        <f>IF(B39="","",IF(OR(F39="FAIL",K39="泄漏"),"DROP",IF(G39="FAIL","RELABEL",IF(OR(H39="FAIL",I39="FAIL",J39="FAIL"),"REWORK",IF(COUNTIF(F39:J39,"PENDING")&gt;0,"PENDING","REUSE")))))</f>
        <v/>
      </c>
      <c r="M39" s="20" t="inlineStr">
        <is>
          <t>PENDING</t>
        </is>
      </c>
      <c r="N39" s="20" t="str"/>
      <c r="O39" s="20" t="str"/>
      <c r="P39" s="20" t="str"/>
      <c r="Q39" s="20" t="inlineStr">
        <is>
          <t>待确认</t>
        </is>
      </c>
      <c r="R39" s="20" t="inlineStr">
        <is>
          <t>未开始</t>
        </is>
      </c>
      <c r="S39">
        <f>IF(B39="","",IF(E39="已暴露","DEV_REG_ONLY","ANY"))</f>
        <v/>
      </c>
    </row>
    <row r="40">
      <c r="A40" s="20" t="n">
        <v>37</v>
      </c>
      <c r="B40" s="20" t="str"/>
      <c r="C40" s="20" t="str"/>
      <c r="D40" s="20" t="str"/>
      <c r="E40" s="20" t="str"/>
      <c r="F40" s="20" t="inlineStr">
        <is>
          <t>PENDING</t>
        </is>
      </c>
      <c r="G40" s="20" t="inlineStr">
        <is>
          <t>PENDING</t>
        </is>
      </c>
      <c r="H40" s="20" t="inlineStr">
        <is>
          <t>PENDING</t>
        </is>
      </c>
      <c r="I40" s="20" t="inlineStr">
        <is>
          <t>PENDING</t>
        </is>
      </c>
      <c r="J40" s="20" t="inlineStr">
        <is>
          <t>PENDING</t>
        </is>
      </c>
      <c r="K40" s="20" t="inlineStr">
        <is>
          <t>待确认</t>
        </is>
      </c>
      <c r="L40" s="20">
        <f>IF(B40="","",IF(OR(F40="FAIL",K40="泄漏"),"DROP",IF(G40="FAIL","RELABEL",IF(OR(H40="FAIL",I40="FAIL",J40="FAIL"),"REWORK",IF(COUNTIF(F40:J40,"PENDING")&gt;0,"PENDING","REUSE")))))</f>
        <v/>
      </c>
      <c r="M40" s="20" t="inlineStr">
        <is>
          <t>PENDING</t>
        </is>
      </c>
      <c r="N40" s="20" t="str"/>
      <c r="O40" s="20" t="str"/>
      <c r="P40" s="20" t="str"/>
      <c r="Q40" s="20" t="inlineStr">
        <is>
          <t>待确认</t>
        </is>
      </c>
      <c r="R40" s="20" t="inlineStr">
        <is>
          <t>未开始</t>
        </is>
      </c>
      <c r="S40">
        <f>IF(B40="","",IF(E40="已暴露","DEV_REG_ONLY","ANY"))</f>
        <v/>
      </c>
    </row>
    <row r="41">
      <c r="A41" s="20" t="n">
        <v>38</v>
      </c>
      <c r="B41" s="20" t="str"/>
      <c r="C41" s="20" t="str"/>
      <c r="D41" s="20" t="str"/>
      <c r="E41" s="20" t="str"/>
      <c r="F41" s="20" t="inlineStr">
        <is>
          <t>PENDING</t>
        </is>
      </c>
      <c r="G41" s="20" t="inlineStr">
        <is>
          <t>PENDING</t>
        </is>
      </c>
      <c r="H41" s="20" t="inlineStr">
        <is>
          <t>PENDING</t>
        </is>
      </c>
      <c r="I41" s="20" t="inlineStr">
        <is>
          <t>PENDING</t>
        </is>
      </c>
      <c r="J41" s="20" t="inlineStr">
        <is>
          <t>PENDING</t>
        </is>
      </c>
      <c r="K41" s="20" t="inlineStr">
        <is>
          <t>待确认</t>
        </is>
      </c>
      <c r="L41" s="20">
        <f>IF(B41="","",IF(OR(F41="FAIL",K41="泄漏"),"DROP",IF(G41="FAIL","RELABEL",IF(OR(H41="FAIL",I41="FAIL",J41="FAIL"),"REWORK",IF(COUNTIF(F41:J41,"PENDING")&gt;0,"PENDING","REUSE")))))</f>
        <v/>
      </c>
      <c r="M41" s="20" t="inlineStr">
        <is>
          <t>PENDING</t>
        </is>
      </c>
      <c r="N41" s="20" t="str"/>
      <c r="O41" s="20" t="str"/>
      <c r="P41" s="20" t="str"/>
      <c r="Q41" s="20" t="inlineStr">
        <is>
          <t>待确认</t>
        </is>
      </c>
      <c r="R41" s="20" t="inlineStr">
        <is>
          <t>未开始</t>
        </is>
      </c>
      <c r="S41">
        <f>IF(B41="","",IF(E41="已暴露","DEV_REG_ONLY","ANY"))</f>
        <v/>
      </c>
    </row>
    <row r="42">
      <c r="A42" s="20" t="n">
        <v>39</v>
      </c>
      <c r="B42" s="20" t="str"/>
      <c r="C42" s="20" t="str"/>
      <c r="D42" s="20" t="str"/>
      <c r="E42" s="20" t="str"/>
      <c r="F42" s="20" t="inlineStr">
        <is>
          <t>PENDING</t>
        </is>
      </c>
      <c r="G42" s="20" t="inlineStr">
        <is>
          <t>PENDING</t>
        </is>
      </c>
      <c r="H42" s="20" t="inlineStr">
        <is>
          <t>PENDING</t>
        </is>
      </c>
      <c r="I42" s="20" t="inlineStr">
        <is>
          <t>PENDING</t>
        </is>
      </c>
      <c r="J42" s="20" t="inlineStr">
        <is>
          <t>PENDING</t>
        </is>
      </c>
      <c r="K42" s="20" t="inlineStr">
        <is>
          <t>待确认</t>
        </is>
      </c>
      <c r="L42" s="20">
        <f>IF(B42="","",IF(OR(F42="FAIL",K42="泄漏"),"DROP",IF(G42="FAIL","RELABEL",IF(OR(H42="FAIL",I42="FAIL",J42="FAIL"),"REWORK",IF(COUNTIF(F42:J42,"PENDING")&gt;0,"PENDING","REUSE")))))</f>
        <v/>
      </c>
      <c r="M42" s="20" t="inlineStr">
        <is>
          <t>PENDING</t>
        </is>
      </c>
      <c r="N42" s="20" t="str"/>
      <c r="O42" s="20" t="str"/>
      <c r="P42" s="20" t="str"/>
      <c r="Q42" s="20" t="inlineStr">
        <is>
          <t>待确认</t>
        </is>
      </c>
      <c r="R42" s="20" t="inlineStr">
        <is>
          <t>未开始</t>
        </is>
      </c>
      <c r="S42">
        <f>IF(B42="","",IF(E42="已暴露","DEV_REG_ONLY","ANY"))</f>
        <v/>
      </c>
    </row>
    <row r="43">
      <c r="A43" s="20" t="n">
        <v>40</v>
      </c>
      <c r="B43" s="20" t="str"/>
      <c r="C43" s="20" t="str"/>
      <c r="D43" s="20" t="str"/>
      <c r="E43" s="20" t="str"/>
      <c r="F43" s="20" t="inlineStr">
        <is>
          <t>PENDING</t>
        </is>
      </c>
      <c r="G43" s="20" t="inlineStr">
        <is>
          <t>PENDING</t>
        </is>
      </c>
      <c r="H43" s="20" t="inlineStr">
        <is>
          <t>PENDING</t>
        </is>
      </c>
      <c r="I43" s="20" t="inlineStr">
        <is>
          <t>PENDING</t>
        </is>
      </c>
      <c r="J43" s="20" t="inlineStr">
        <is>
          <t>PENDING</t>
        </is>
      </c>
      <c r="K43" s="20" t="inlineStr">
        <is>
          <t>待确认</t>
        </is>
      </c>
      <c r="L43" s="20">
        <f>IF(B43="","",IF(OR(F43="FAIL",K43="泄漏"),"DROP",IF(G43="FAIL","RELABEL",IF(OR(H43="FAIL",I43="FAIL",J43="FAIL"),"REWORK",IF(COUNTIF(F43:J43,"PENDING")&gt;0,"PENDING","REUSE")))))</f>
        <v/>
      </c>
      <c r="M43" s="20" t="inlineStr">
        <is>
          <t>PENDING</t>
        </is>
      </c>
      <c r="N43" s="20" t="str"/>
      <c r="O43" s="20" t="str"/>
      <c r="P43" s="20" t="str"/>
      <c r="Q43" s="20" t="inlineStr">
        <is>
          <t>待确认</t>
        </is>
      </c>
      <c r="R43" s="20" t="inlineStr">
        <is>
          <t>未开始</t>
        </is>
      </c>
      <c r="S43">
        <f>IF(B43="","",IF(E43="已暴露","DEV_REG_ONLY","ANY"))</f>
        <v/>
      </c>
    </row>
    <row r="44">
      <c r="A44" s="20" t="n">
        <v>41</v>
      </c>
      <c r="B44" s="20" t="str"/>
      <c r="C44" s="20" t="str"/>
      <c r="D44" s="20" t="str"/>
      <c r="E44" s="20" t="str"/>
      <c r="F44" s="20" t="inlineStr">
        <is>
          <t>PENDING</t>
        </is>
      </c>
      <c r="G44" s="20" t="inlineStr">
        <is>
          <t>PENDING</t>
        </is>
      </c>
      <c r="H44" s="20" t="inlineStr">
        <is>
          <t>PENDING</t>
        </is>
      </c>
      <c r="I44" s="20" t="inlineStr">
        <is>
          <t>PENDING</t>
        </is>
      </c>
      <c r="J44" s="20" t="inlineStr">
        <is>
          <t>PENDING</t>
        </is>
      </c>
      <c r="K44" s="20" t="inlineStr">
        <is>
          <t>待确认</t>
        </is>
      </c>
      <c r="L44" s="20">
        <f>IF(B44="","",IF(OR(F44="FAIL",K44="泄漏"),"DROP",IF(G44="FAIL","RELABEL",IF(OR(H44="FAIL",I44="FAIL",J44="FAIL"),"REWORK",IF(COUNTIF(F44:J44,"PENDING")&gt;0,"PENDING","REUSE")))))</f>
        <v/>
      </c>
      <c r="M44" s="20" t="inlineStr">
        <is>
          <t>PENDING</t>
        </is>
      </c>
      <c r="N44" s="20" t="str"/>
      <c r="O44" s="20" t="str"/>
      <c r="P44" s="20" t="str"/>
      <c r="Q44" s="20" t="inlineStr">
        <is>
          <t>待确认</t>
        </is>
      </c>
      <c r="R44" s="20" t="inlineStr">
        <is>
          <t>未开始</t>
        </is>
      </c>
      <c r="S44">
        <f>IF(B44="","",IF(E44="已暴露","DEV_REG_ONLY","ANY"))</f>
        <v/>
      </c>
    </row>
    <row r="45">
      <c r="A45" s="20" t="n">
        <v>42</v>
      </c>
      <c r="B45" s="20" t="str"/>
      <c r="C45" s="20" t="str"/>
      <c r="D45" s="20" t="str"/>
      <c r="E45" s="20" t="str"/>
      <c r="F45" s="20" t="inlineStr">
        <is>
          <t>PENDING</t>
        </is>
      </c>
      <c r="G45" s="20" t="inlineStr">
        <is>
          <t>PENDING</t>
        </is>
      </c>
      <c r="H45" s="20" t="inlineStr">
        <is>
          <t>PENDING</t>
        </is>
      </c>
      <c r="I45" s="20" t="inlineStr">
        <is>
          <t>PENDING</t>
        </is>
      </c>
      <c r="J45" s="20" t="inlineStr">
        <is>
          <t>PENDING</t>
        </is>
      </c>
      <c r="K45" s="20" t="inlineStr">
        <is>
          <t>待确认</t>
        </is>
      </c>
      <c r="L45" s="20">
        <f>IF(B45="","",IF(OR(F45="FAIL",K45="泄漏"),"DROP",IF(G45="FAIL","RELABEL",IF(OR(H45="FAIL",I45="FAIL",J45="FAIL"),"REWORK",IF(COUNTIF(F45:J45,"PENDING")&gt;0,"PENDING","REUSE")))))</f>
        <v/>
      </c>
      <c r="M45" s="20" t="inlineStr">
        <is>
          <t>PENDING</t>
        </is>
      </c>
      <c r="N45" s="20" t="str"/>
      <c r="O45" s="20" t="str"/>
      <c r="P45" s="20" t="str"/>
      <c r="Q45" s="20" t="inlineStr">
        <is>
          <t>待确认</t>
        </is>
      </c>
      <c r="R45" s="20" t="inlineStr">
        <is>
          <t>未开始</t>
        </is>
      </c>
      <c r="S45">
        <f>IF(B45="","",IF(E45="已暴露","DEV_REG_ONLY","ANY"))</f>
        <v/>
      </c>
    </row>
    <row r="46">
      <c r="A46" s="20" t="n">
        <v>43</v>
      </c>
      <c r="B46" s="20" t="str"/>
      <c r="C46" s="20" t="str"/>
      <c r="D46" s="20" t="str"/>
      <c r="E46" s="20" t="str"/>
      <c r="F46" s="20" t="inlineStr">
        <is>
          <t>PENDING</t>
        </is>
      </c>
      <c r="G46" s="20" t="inlineStr">
        <is>
          <t>PENDING</t>
        </is>
      </c>
      <c r="H46" s="20" t="inlineStr">
        <is>
          <t>PENDING</t>
        </is>
      </c>
      <c r="I46" s="20" t="inlineStr">
        <is>
          <t>PENDING</t>
        </is>
      </c>
      <c r="J46" s="20" t="inlineStr">
        <is>
          <t>PENDING</t>
        </is>
      </c>
      <c r="K46" s="20" t="inlineStr">
        <is>
          <t>待确认</t>
        </is>
      </c>
      <c r="L46" s="20">
        <f>IF(B46="","",IF(OR(F46="FAIL",K46="泄漏"),"DROP",IF(G46="FAIL","RELABEL",IF(OR(H46="FAIL",I46="FAIL",J46="FAIL"),"REWORK",IF(COUNTIF(F46:J46,"PENDING")&gt;0,"PENDING","REUSE")))))</f>
        <v/>
      </c>
      <c r="M46" s="20" t="inlineStr">
        <is>
          <t>PENDING</t>
        </is>
      </c>
      <c r="N46" s="20" t="str"/>
      <c r="O46" s="20" t="str"/>
      <c r="P46" s="20" t="str"/>
      <c r="Q46" s="20" t="inlineStr">
        <is>
          <t>待确认</t>
        </is>
      </c>
      <c r="R46" s="20" t="inlineStr">
        <is>
          <t>未开始</t>
        </is>
      </c>
      <c r="S46">
        <f>IF(B46="","",IF(E46="已暴露","DEV_REG_ONLY","ANY"))</f>
        <v/>
      </c>
    </row>
    <row r="47">
      <c r="A47" s="20" t="n">
        <v>44</v>
      </c>
      <c r="B47" s="20" t="str"/>
      <c r="C47" s="20" t="str"/>
      <c r="D47" s="20" t="str"/>
      <c r="E47" s="20" t="str"/>
      <c r="F47" s="20" t="inlineStr">
        <is>
          <t>PENDING</t>
        </is>
      </c>
      <c r="G47" s="20" t="inlineStr">
        <is>
          <t>PENDING</t>
        </is>
      </c>
      <c r="H47" s="20" t="inlineStr">
        <is>
          <t>PENDING</t>
        </is>
      </c>
      <c r="I47" s="20" t="inlineStr">
        <is>
          <t>PENDING</t>
        </is>
      </c>
      <c r="J47" s="20" t="inlineStr">
        <is>
          <t>PENDING</t>
        </is>
      </c>
      <c r="K47" s="20" t="inlineStr">
        <is>
          <t>待确认</t>
        </is>
      </c>
      <c r="L47" s="20">
        <f>IF(B47="","",IF(OR(F47="FAIL",K47="泄漏"),"DROP",IF(G47="FAIL","RELABEL",IF(OR(H47="FAIL",I47="FAIL",J47="FAIL"),"REWORK",IF(COUNTIF(F47:J47,"PENDING")&gt;0,"PENDING","REUSE")))))</f>
        <v/>
      </c>
      <c r="M47" s="20" t="inlineStr">
        <is>
          <t>PENDING</t>
        </is>
      </c>
      <c r="N47" s="20" t="str"/>
      <c r="O47" s="20" t="str"/>
      <c r="P47" s="20" t="str"/>
      <c r="Q47" s="20" t="inlineStr">
        <is>
          <t>待确认</t>
        </is>
      </c>
      <c r="R47" s="20" t="inlineStr">
        <is>
          <t>未开始</t>
        </is>
      </c>
      <c r="S47">
        <f>IF(B47="","",IF(E47="已暴露","DEV_REG_ONLY","ANY"))</f>
        <v/>
      </c>
    </row>
    <row r="48">
      <c r="A48" s="20" t="n">
        <v>45</v>
      </c>
      <c r="B48" s="20" t="str"/>
      <c r="C48" s="20" t="str"/>
      <c r="D48" s="20" t="str"/>
      <c r="E48" s="20" t="str"/>
      <c r="F48" s="20" t="inlineStr">
        <is>
          <t>PENDING</t>
        </is>
      </c>
      <c r="G48" s="20" t="inlineStr">
        <is>
          <t>PENDING</t>
        </is>
      </c>
      <c r="H48" s="20" t="inlineStr">
        <is>
          <t>PENDING</t>
        </is>
      </c>
      <c r="I48" s="20" t="inlineStr">
        <is>
          <t>PENDING</t>
        </is>
      </c>
      <c r="J48" s="20" t="inlineStr">
        <is>
          <t>PENDING</t>
        </is>
      </c>
      <c r="K48" s="20" t="inlineStr">
        <is>
          <t>待确认</t>
        </is>
      </c>
      <c r="L48" s="20">
        <f>IF(B48="","",IF(OR(F48="FAIL",K48="泄漏"),"DROP",IF(G48="FAIL","RELABEL",IF(OR(H48="FAIL",I48="FAIL",J48="FAIL"),"REWORK",IF(COUNTIF(F48:J48,"PENDING")&gt;0,"PENDING","REUSE")))))</f>
        <v/>
      </c>
      <c r="M48" s="20" t="inlineStr">
        <is>
          <t>PENDING</t>
        </is>
      </c>
      <c r="N48" s="20" t="str"/>
      <c r="O48" s="20" t="str"/>
      <c r="P48" s="20" t="str"/>
      <c r="Q48" s="20" t="inlineStr">
        <is>
          <t>待确认</t>
        </is>
      </c>
      <c r="R48" s="20" t="inlineStr">
        <is>
          <t>未开始</t>
        </is>
      </c>
      <c r="S48">
        <f>IF(B48="","",IF(E48="已暴露","DEV_REG_ONLY","ANY"))</f>
        <v/>
      </c>
    </row>
    <row r="49">
      <c r="A49" s="20" t="n">
        <v>46</v>
      </c>
      <c r="B49" s="20" t="str"/>
      <c r="C49" s="20" t="str"/>
      <c r="D49" s="20" t="str"/>
      <c r="E49" s="20" t="str"/>
      <c r="F49" s="20" t="inlineStr">
        <is>
          <t>PENDING</t>
        </is>
      </c>
      <c r="G49" s="20" t="inlineStr">
        <is>
          <t>PENDING</t>
        </is>
      </c>
      <c r="H49" s="20" t="inlineStr">
        <is>
          <t>PENDING</t>
        </is>
      </c>
      <c r="I49" s="20" t="inlineStr">
        <is>
          <t>PENDING</t>
        </is>
      </c>
      <c r="J49" s="20" t="inlineStr">
        <is>
          <t>PENDING</t>
        </is>
      </c>
      <c r="K49" s="20" t="inlineStr">
        <is>
          <t>待确认</t>
        </is>
      </c>
      <c r="L49" s="20">
        <f>IF(B49="","",IF(OR(F49="FAIL",K49="泄漏"),"DROP",IF(G49="FAIL","RELABEL",IF(OR(H49="FAIL",I49="FAIL",J49="FAIL"),"REWORK",IF(COUNTIF(F49:J49,"PENDING")&gt;0,"PENDING","REUSE")))))</f>
        <v/>
      </c>
      <c r="M49" s="20" t="inlineStr">
        <is>
          <t>PENDING</t>
        </is>
      </c>
      <c r="N49" s="20" t="str"/>
      <c r="O49" s="20" t="str"/>
      <c r="P49" s="20" t="str"/>
      <c r="Q49" s="20" t="inlineStr">
        <is>
          <t>待确认</t>
        </is>
      </c>
      <c r="R49" s="20" t="inlineStr">
        <is>
          <t>未开始</t>
        </is>
      </c>
      <c r="S49">
        <f>IF(B49="","",IF(E49="已暴露","DEV_REG_ONLY","ANY"))</f>
        <v/>
      </c>
    </row>
    <row r="50">
      <c r="A50" s="20" t="n">
        <v>47</v>
      </c>
      <c r="B50" s="20" t="str"/>
      <c r="C50" s="20" t="str"/>
      <c r="D50" s="20" t="str"/>
      <c r="E50" s="20" t="str"/>
      <c r="F50" s="20" t="inlineStr">
        <is>
          <t>PENDING</t>
        </is>
      </c>
      <c r="G50" s="20" t="inlineStr">
        <is>
          <t>PENDING</t>
        </is>
      </c>
      <c r="H50" s="20" t="inlineStr">
        <is>
          <t>PENDING</t>
        </is>
      </c>
      <c r="I50" s="20" t="inlineStr">
        <is>
          <t>PENDING</t>
        </is>
      </c>
      <c r="J50" s="20" t="inlineStr">
        <is>
          <t>PENDING</t>
        </is>
      </c>
      <c r="K50" s="20" t="inlineStr">
        <is>
          <t>待确认</t>
        </is>
      </c>
      <c r="L50" s="20">
        <f>IF(B50="","",IF(OR(F50="FAIL",K50="泄漏"),"DROP",IF(G50="FAIL","RELABEL",IF(OR(H50="FAIL",I50="FAIL",J50="FAIL"),"REWORK",IF(COUNTIF(F50:J50,"PENDING")&gt;0,"PENDING","REUSE")))))</f>
        <v/>
      </c>
      <c r="M50" s="20" t="inlineStr">
        <is>
          <t>PENDING</t>
        </is>
      </c>
      <c r="N50" s="20" t="str"/>
      <c r="O50" s="20" t="str"/>
      <c r="P50" s="20" t="str"/>
      <c r="Q50" s="20" t="inlineStr">
        <is>
          <t>待确认</t>
        </is>
      </c>
      <c r="R50" s="20" t="inlineStr">
        <is>
          <t>未开始</t>
        </is>
      </c>
      <c r="S50">
        <f>IF(B50="","",IF(E50="已暴露","DEV_REG_ONLY","ANY"))</f>
        <v/>
      </c>
    </row>
    <row r="51">
      <c r="A51" s="20" t="n">
        <v>48</v>
      </c>
      <c r="B51" s="20" t="str"/>
      <c r="C51" s="20" t="str"/>
      <c r="D51" s="20" t="str"/>
      <c r="E51" s="20" t="str"/>
      <c r="F51" s="20" t="inlineStr">
        <is>
          <t>PENDING</t>
        </is>
      </c>
      <c r="G51" s="20" t="inlineStr">
        <is>
          <t>PENDING</t>
        </is>
      </c>
      <c r="H51" s="20" t="inlineStr">
        <is>
          <t>PENDING</t>
        </is>
      </c>
      <c r="I51" s="20" t="inlineStr">
        <is>
          <t>PENDING</t>
        </is>
      </c>
      <c r="J51" s="20" t="inlineStr">
        <is>
          <t>PENDING</t>
        </is>
      </c>
      <c r="K51" s="20" t="inlineStr">
        <is>
          <t>待确认</t>
        </is>
      </c>
      <c r="L51" s="20">
        <f>IF(B51="","",IF(OR(F51="FAIL",K51="泄漏"),"DROP",IF(G51="FAIL","RELABEL",IF(OR(H51="FAIL",I51="FAIL",J51="FAIL"),"REWORK",IF(COUNTIF(F51:J51,"PENDING")&gt;0,"PENDING","REUSE")))))</f>
        <v/>
      </c>
      <c r="M51" s="20" t="inlineStr">
        <is>
          <t>PENDING</t>
        </is>
      </c>
      <c r="N51" s="20" t="str"/>
      <c r="O51" s="20" t="str"/>
      <c r="P51" s="20" t="str"/>
      <c r="Q51" s="20" t="inlineStr">
        <is>
          <t>待确认</t>
        </is>
      </c>
      <c r="R51" s="20" t="inlineStr">
        <is>
          <t>未开始</t>
        </is>
      </c>
      <c r="S51">
        <f>IF(B51="","",IF(E51="已暴露","DEV_REG_ONLY","ANY"))</f>
        <v/>
      </c>
    </row>
    <row r="52">
      <c r="A52" s="20" t="n">
        <v>49</v>
      </c>
      <c r="B52" s="20" t="str"/>
      <c r="C52" s="20" t="str"/>
      <c r="D52" s="20" t="str"/>
      <c r="E52" s="20" t="str"/>
      <c r="F52" s="20" t="inlineStr">
        <is>
          <t>PENDING</t>
        </is>
      </c>
      <c r="G52" s="20" t="inlineStr">
        <is>
          <t>PENDING</t>
        </is>
      </c>
      <c r="H52" s="20" t="inlineStr">
        <is>
          <t>PENDING</t>
        </is>
      </c>
      <c r="I52" s="20" t="inlineStr">
        <is>
          <t>PENDING</t>
        </is>
      </c>
      <c r="J52" s="20" t="inlineStr">
        <is>
          <t>PENDING</t>
        </is>
      </c>
      <c r="K52" s="20" t="inlineStr">
        <is>
          <t>待确认</t>
        </is>
      </c>
      <c r="L52" s="20">
        <f>IF(B52="","",IF(OR(F52="FAIL",K52="泄漏"),"DROP",IF(G52="FAIL","RELABEL",IF(OR(H52="FAIL",I52="FAIL",J52="FAIL"),"REWORK",IF(COUNTIF(F52:J52,"PENDING")&gt;0,"PENDING","REUSE")))))</f>
        <v/>
      </c>
      <c r="M52" s="20" t="inlineStr">
        <is>
          <t>PENDING</t>
        </is>
      </c>
      <c r="N52" s="20" t="str"/>
      <c r="O52" s="20" t="str"/>
      <c r="P52" s="20" t="str"/>
      <c r="Q52" s="20" t="inlineStr">
        <is>
          <t>待确认</t>
        </is>
      </c>
      <c r="R52" s="20" t="inlineStr">
        <is>
          <t>未开始</t>
        </is>
      </c>
      <c r="S52">
        <f>IF(B52="","",IF(E52="已暴露","DEV_REG_ONLY","ANY"))</f>
        <v/>
      </c>
    </row>
    <row r="53">
      <c r="A53" s="20" t="n">
        <v>50</v>
      </c>
      <c r="B53" s="20" t="str"/>
      <c r="C53" s="20" t="str"/>
      <c r="D53" s="20" t="str"/>
      <c r="E53" s="20" t="str"/>
      <c r="F53" s="20" t="inlineStr">
        <is>
          <t>PENDING</t>
        </is>
      </c>
      <c r="G53" s="20" t="inlineStr">
        <is>
          <t>PENDING</t>
        </is>
      </c>
      <c r="H53" s="20" t="inlineStr">
        <is>
          <t>PENDING</t>
        </is>
      </c>
      <c r="I53" s="20" t="inlineStr">
        <is>
          <t>PENDING</t>
        </is>
      </c>
      <c r="J53" s="20" t="inlineStr">
        <is>
          <t>PENDING</t>
        </is>
      </c>
      <c r="K53" s="20" t="inlineStr">
        <is>
          <t>待确认</t>
        </is>
      </c>
      <c r="L53" s="20">
        <f>IF(B53="","",IF(OR(F53="FAIL",K53="泄漏"),"DROP",IF(G53="FAIL","RELABEL",IF(OR(H53="FAIL",I53="FAIL",J53="FAIL"),"REWORK",IF(COUNTIF(F53:J53,"PENDING")&gt;0,"PENDING","REUSE")))))</f>
        <v/>
      </c>
      <c r="M53" s="20" t="inlineStr">
        <is>
          <t>PENDING</t>
        </is>
      </c>
      <c r="N53" s="20" t="str"/>
      <c r="O53" s="20" t="str"/>
      <c r="P53" s="20" t="str"/>
      <c r="Q53" s="20" t="inlineStr">
        <is>
          <t>待确认</t>
        </is>
      </c>
      <c r="R53" s="20" t="inlineStr">
        <is>
          <t>未开始</t>
        </is>
      </c>
      <c r="S53">
        <f>IF(B53="","",IF(E53="已暴露","DEV_REG_ONLY","ANY"))</f>
        <v/>
      </c>
    </row>
    <row r="54">
      <c r="A54" s="20" t="n">
        <v>51</v>
      </c>
      <c r="B54" s="20" t="str"/>
      <c r="C54" s="20" t="str"/>
      <c r="D54" s="20" t="str"/>
      <c r="E54" s="20" t="str"/>
      <c r="F54" s="20" t="inlineStr">
        <is>
          <t>PENDING</t>
        </is>
      </c>
      <c r="G54" s="20" t="inlineStr">
        <is>
          <t>PENDING</t>
        </is>
      </c>
      <c r="H54" s="20" t="inlineStr">
        <is>
          <t>PENDING</t>
        </is>
      </c>
      <c r="I54" s="20" t="inlineStr">
        <is>
          <t>PENDING</t>
        </is>
      </c>
      <c r="J54" s="20" t="inlineStr">
        <is>
          <t>PENDING</t>
        </is>
      </c>
      <c r="K54" s="20" t="inlineStr">
        <is>
          <t>待确认</t>
        </is>
      </c>
      <c r="L54" s="20">
        <f>IF(B54="","",IF(OR(F54="FAIL",K54="泄漏"),"DROP",IF(G54="FAIL","RELABEL",IF(OR(H54="FAIL",I54="FAIL",J54="FAIL"),"REWORK",IF(COUNTIF(F54:J54,"PENDING")&gt;0,"PENDING","REUSE")))))</f>
        <v/>
      </c>
      <c r="M54" s="20" t="inlineStr">
        <is>
          <t>PENDING</t>
        </is>
      </c>
      <c r="N54" s="20" t="str"/>
      <c r="O54" s="20" t="str"/>
      <c r="P54" s="20" t="str"/>
      <c r="Q54" s="20" t="inlineStr">
        <is>
          <t>待确认</t>
        </is>
      </c>
      <c r="R54" s="20" t="inlineStr">
        <is>
          <t>未开始</t>
        </is>
      </c>
      <c r="S54">
        <f>IF(B54="","",IF(E54="已暴露","DEV_REG_ONLY","ANY"))</f>
        <v/>
      </c>
    </row>
    <row r="55">
      <c r="A55" s="20" t="n">
        <v>52</v>
      </c>
      <c r="B55" s="20" t="str"/>
      <c r="C55" s="20" t="str"/>
      <c r="D55" s="20" t="str"/>
      <c r="E55" s="20" t="str"/>
      <c r="F55" s="20" t="inlineStr">
        <is>
          <t>PENDING</t>
        </is>
      </c>
      <c r="G55" s="20" t="inlineStr">
        <is>
          <t>PENDING</t>
        </is>
      </c>
      <c r="H55" s="20" t="inlineStr">
        <is>
          <t>PENDING</t>
        </is>
      </c>
      <c r="I55" s="20" t="inlineStr">
        <is>
          <t>PENDING</t>
        </is>
      </c>
      <c r="J55" s="20" t="inlineStr">
        <is>
          <t>PENDING</t>
        </is>
      </c>
      <c r="K55" s="20" t="inlineStr">
        <is>
          <t>待确认</t>
        </is>
      </c>
      <c r="L55" s="20">
        <f>IF(B55="","",IF(OR(F55="FAIL",K55="泄漏"),"DROP",IF(G55="FAIL","RELABEL",IF(OR(H55="FAIL",I55="FAIL",J55="FAIL"),"REWORK",IF(COUNTIF(F55:J55,"PENDING")&gt;0,"PENDING","REUSE")))))</f>
        <v/>
      </c>
      <c r="M55" s="20" t="inlineStr">
        <is>
          <t>PENDING</t>
        </is>
      </c>
      <c r="N55" s="20" t="str"/>
      <c r="O55" s="20" t="str"/>
      <c r="P55" s="20" t="str"/>
      <c r="Q55" s="20" t="inlineStr">
        <is>
          <t>待确认</t>
        </is>
      </c>
      <c r="R55" s="20" t="inlineStr">
        <is>
          <t>未开始</t>
        </is>
      </c>
      <c r="S55">
        <f>IF(B55="","",IF(E55="已暴露","DEV_REG_ONLY","ANY"))</f>
        <v/>
      </c>
    </row>
    <row r="56">
      <c r="A56" s="20" t="n">
        <v>53</v>
      </c>
      <c r="B56" s="20" t="str"/>
      <c r="C56" s="20" t="str"/>
      <c r="D56" s="20" t="str"/>
      <c r="E56" s="20" t="str"/>
      <c r="F56" s="20" t="inlineStr">
        <is>
          <t>PENDING</t>
        </is>
      </c>
      <c r="G56" s="20" t="inlineStr">
        <is>
          <t>PENDING</t>
        </is>
      </c>
      <c r="H56" s="20" t="inlineStr">
        <is>
          <t>PENDING</t>
        </is>
      </c>
      <c r="I56" s="20" t="inlineStr">
        <is>
          <t>PENDING</t>
        </is>
      </c>
      <c r="J56" s="20" t="inlineStr">
        <is>
          <t>PENDING</t>
        </is>
      </c>
      <c r="K56" s="20" t="inlineStr">
        <is>
          <t>待确认</t>
        </is>
      </c>
      <c r="L56" s="20">
        <f>IF(B56="","",IF(OR(F56="FAIL",K56="泄漏"),"DROP",IF(G56="FAIL","RELABEL",IF(OR(H56="FAIL",I56="FAIL",J56="FAIL"),"REWORK",IF(COUNTIF(F56:J56,"PENDING")&gt;0,"PENDING","REUSE")))))</f>
        <v/>
      </c>
      <c r="M56" s="20" t="inlineStr">
        <is>
          <t>PENDING</t>
        </is>
      </c>
      <c r="N56" s="20" t="str"/>
      <c r="O56" s="20" t="str"/>
      <c r="P56" s="20" t="str"/>
      <c r="Q56" s="20" t="inlineStr">
        <is>
          <t>待确认</t>
        </is>
      </c>
      <c r="R56" s="20" t="inlineStr">
        <is>
          <t>未开始</t>
        </is>
      </c>
      <c r="S56">
        <f>IF(B56="","",IF(E56="已暴露","DEV_REG_ONLY","ANY"))</f>
        <v/>
      </c>
    </row>
    <row r="57">
      <c r="A57" s="20" t="n">
        <v>54</v>
      </c>
      <c r="B57" s="20" t="str"/>
      <c r="C57" s="20" t="str"/>
      <c r="D57" s="20" t="str"/>
      <c r="E57" s="20" t="str"/>
      <c r="F57" s="20" t="inlineStr">
        <is>
          <t>PENDING</t>
        </is>
      </c>
      <c r="G57" s="20" t="inlineStr">
        <is>
          <t>PENDING</t>
        </is>
      </c>
      <c r="H57" s="20" t="inlineStr">
        <is>
          <t>PENDING</t>
        </is>
      </c>
      <c r="I57" s="20" t="inlineStr">
        <is>
          <t>PENDING</t>
        </is>
      </c>
      <c r="J57" s="20" t="inlineStr">
        <is>
          <t>PENDING</t>
        </is>
      </c>
      <c r="K57" s="20" t="inlineStr">
        <is>
          <t>待确认</t>
        </is>
      </c>
      <c r="L57" s="20">
        <f>IF(B57="","",IF(OR(F57="FAIL",K57="泄漏"),"DROP",IF(G57="FAIL","RELABEL",IF(OR(H57="FAIL",I57="FAIL",J57="FAIL"),"REWORK",IF(COUNTIF(F57:J57,"PENDING")&gt;0,"PENDING","REUSE")))))</f>
        <v/>
      </c>
      <c r="M57" s="20" t="inlineStr">
        <is>
          <t>PENDING</t>
        </is>
      </c>
      <c r="N57" s="20" t="str"/>
      <c r="O57" s="20" t="str"/>
      <c r="P57" s="20" t="str"/>
      <c r="Q57" s="20" t="inlineStr">
        <is>
          <t>待确认</t>
        </is>
      </c>
      <c r="R57" s="20" t="inlineStr">
        <is>
          <t>未开始</t>
        </is>
      </c>
      <c r="S57">
        <f>IF(B57="","",IF(E57="已暴露","DEV_REG_ONLY","ANY"))</f>
        <v/>
      </c>
    </row>
    <row r="58">
      <c r="A58" s="20" t="n">
        <v>55</v>
      </c>
      <c r="B58" s="20" t="str"/>
      <c r="C58" s="20" t="str"/>
      <c r="D58" s="20" t="str"/>
      <c r="E58" s="20" t="str"/>
      <c r="F58" s="20" t="inlineStr">
        <is>
          <t>PENDING</t>
        </is>
      </c>
      <c r="G58" s="20" t="inlineStr">
        <is>
          <t>PENDING</t>
        </is>
      </c>
      <c r="H58" s="20" t="inlineStr">
        <is>
          <t>PENDING</t>
        </is>
      </c>
      <c r="I58" s="20" t="inlineStr">
        <is>
          <t>PENDING</t>
        </is>
      </c>
      <c r="J58" s="20" t="inlineStr">
        <is>
          <t>PENDING</t>
        </is>
      </c>
      <c r="K58" s="20" t="inlineStr">
        <is>
          <t>待确认</t>
        </is>
      </c>
      <c r="L58" s="20">
        <f>IF(B58="","",IF(OR(F58="FAIL",K58="泄漏"),"DROP",IF(G58="FAIL","RELABEL",IF(OR(H58="FAIL",I58="FAIL",J58="FAIL"),"REWORK",IF(COUNTIF(F58:J58,"PENDING")&gt;0,"PENDING","REUSE")))))</f>
        <v/>
      </c>
      <c r="M58" s="20" t="inlineStr">
        <is>
          <t>PENDING</t>
        </is>
      </c>
      <c r="N58" s="20" t="str"/>
      <c r="O58" s="20" t="str"/>
      <c r="P58" s="20" t="str"/>
      <c r="Q58" s="20" t="inlineStr">
        <is>
          <t>待确认</t>
        </is>
      </c>
      <c r="R58" s="20" t="inlineStr">
        <is>
          <t>未开始</t>
        </is>
      </c>
      <c r="S58">
        <f>IF(B58="","",IF(E58="已暴露","DEV_REG_ONLY","ANY"))</f>
        <v/>
      </c>
    </row>
    <row r="59">
      <c r="A59" s="20" t="n">
        <v>56</v>
      </c>
      <c r="B59" s="20" t="str"/>
      <c r="C59" s="20" t="str"/>
      <c r="D59" s="20" t="str"/>
      <c r="E59" s="20" t="str"/>
      <c r="F59" s="20" t="inlineStr">
        <is>
          <t>PENDING</t>
        </is>
      </c>
      <c r="G59" s="20" t="inlineStr">
        <is>
          <t>PENDING</t>
        </is>
      </c>
      <c r="H59" s="20" t="inlineStr">
        <is>
          <t>PENDING</t>
        </is>
      </c>
      <c r="I59" s="20" t="inlineStr">
        <is>
          <t>PENDING</t>
        </is>
      </c>
      <c r="J59" s="20" t="inlineStr">
        <is>
          <t>PENDING</t>
        </is>
      </c>
      <c r="K59" s="20" t="inlineStr">
        <is>
          <t>待确认</t>
        </is>
      </c>
      <c r="L59" s="20">
        <f>IF(B59="","",IF(OR(F59="FAIL",K59="泄漏"),"DROP",IF(G59="FAIL","RELABEL",IF(OR(H59="FAIL",I59="FAIL",J59="FAIL"),"REWORK",IF(COUNTIF(F59:J59,"PENDING")&gt;0,"PENDING","REUSE")))))</f>
        <v/>
      </c>
      <c r="M59" s="20" t="inlineStr">
        <is>
          <t>PENDING</t>
        </is>
      </c>
      <c r="N59" s="20" t="str"/>
      <c r="O59" s="20" t="str"/>
      <c r="P59" s="20" t="str"/>
      <c r="Q59" s="20" t="inlineStr">
        <is>
          <t>待确认</t>
        </is>
      </c>
      <c r="R59" s="20" t="inlineStr">
        <is>
          <t>未开始</t>
        </is>
      </c>
      <c r="S59">
        <f>IF(B59="","",IF(E59="已暴露","DEV_REG_ONLY","ANY"))</f>
        <v/>
      </c>
    </row>
    <row r="60">
      <c r="A60" s="20" t="n">
        <v>57</v>
      </c>
      <c r="B60" s="20" t="str"/>
      <c r="C60" s="20" t="str"/>
      <c r="D60" s="20" t="str"/>
      <c r="E60" s="20" t="str"/>
      <c r="F60" s="20" t="inlineStr">
        <is>
          <t>PENDING</t>
        </is>
      </c>
      <c r="G60" s="20" t="inlineStr">
        <is>
          <t>PENDING</t>
        </is>
      </c>
      <c r="H60" s="20" t="inlineStr">
        <is>
          <t>PENDING</t>
        </is>
      </c>
      <c r="I60" s="20" t="inlineStr">
        <is>
          <t>PENDING</t>
        </is>
      </c>
      <c r="J60" s="20" t="inlineStr">
        <is>
          <t>PENDING</t>
        </is>
      </c>
      <c r="K60" s="20" t="inlineStr">
        <is>
          <t>待确认</t>
        </is>
      </c>
      <c r="L60" s="20">
        <f>IF(B60="","",IF(OR(F60="FAIL",K60="泄漏"),"DROP",IF(G60="FAIL","RELABEL",IF(OR(H60="FAIL",I60="FAIL",J60="FAIL"),"REWORK",IF(COUNTIF(F60:J60,"PENDING")&gt;0,"PENDING","REUSE")))))</f>
        <v/>
      </c>
      <c r="M60" s="20" t="inlineStr">
        <is>
          <t>PENDING</t>
        </is>
      </c>
      <c r="N60" s="20" t="str"/>
      <c r="O60" s="20" t="str"/>
      <c r="P60" s="20" t="str"/>
      <c r="Q60" s="20" t="inlineStr">
        <is>
          <t>待确认</t>
        </is>
      </c>
      <c r="R60" s="20" t="inlineStr">
        <is>
          <t>未开始</t>
        </is>
      </c>
      <c r="S60">
        <f>IF(B60="","",IF(E60="已暴露","DEV_REG_ONLY","ANY"))</f>
        <v/>
      </c>
    </row>
    <row r="61">
      <c r="A61" s="20" t="n">
        <v>58</v>
      </c>
      <c r="B61" s="20" t="str"/>
      <c r="C61" s="20" t="str"/>
      <c r="D61" s="20" t="str"/>
      <c r="E61" s="20" t="str"/>
      <c r="F61" s="20" t="inlineStr">
        <is>
          <t>PENDING</t>
        </is>
      </c>
      <c r="G61" s="20" t="inlineStr">
        <is>
          <t>PENDING</t>
        </is>
      </c>
      <c r="H61" s="20" t="inlineStr">
        <is>
          <t>PENDING</t>
        </is>
      </c>
      <c r="I61" s="20" t="inlineStr">
        <is>
          <t>PENDING</t>
        </is>
      </c>
      <c r="J61" s="20" t="inlineStr">
        <is>
          <t>PENDING</t>
        </is>
      </c>
      <c r="K61" s="20" t="inlineStr">
        <is>
          <t>待确认</t>
        </is>
      </c>
      <c r="L61" s="20">
        <f>IF(B61="","",IF(OR(F61="FAIL",K61="泄漏"),"DROP",IF(G61="FAIL","RELABEL",IF(OR(H61="FAIL",I61="FAIL",J61="FAIL"),"REWORK",IF(COUNTIF(F61:J61,"PENDING")&gt;0,"PENDING","REUSE")))))</f>
        <v/>
      </c>
      <c r="M61" s="20" t="inlineStr">
        <is>
          <t>PENDING</t>
        </is>
      </c>
      <c r="N61" s="20" t="str"/>
      <c r="O61" s="20" t="str"/>
      <c r="P61" s="20" t="str"/>
      <c r="Q61" s="20" t="inlineStr">
        <is>
          <t>待确认</t>
        </is>
      </c>
      <c r="R61" s="20" t="inlineStr">
        <is>
          <t>未开始</t>
        </is>
      </c>
      <c r="S61">
        <f>IF(B61="","",IF(E61="已暴露","DEV_REG_ONLY","ANY"))</f>
        <v/>
      </c>
    </row>
    <row r="62">
      <c r="A62" s="20" t="n">
        <v>59</v>
      </c>
      <c r="B62" s="20" t="str"/>
      <c r="C62" s="20" t="str"/>
      <c r="D62" s="20" t="str"/>
      <c r="E62" s="20" t="str"/>
      <c r="F62" s="20" t="inlineStr">
        <is>
          <t>PENDING</t>
        </is>
      </c>
      <c r="G62" s="20" t="inlineStr">
        <is>
          <t>PENDING</t>
        </is>
      </c>
      <c r="H62" s="20" t="inlineStr">
        <is>
          <t>PENDING</t>
        </is>
      </c>
      <c r="I62" s="20" t="inlineStr">
        <is>
          <t>PENDING</t>
        </is>
      </c>
      <c r="J62" s="20" t="inlineStr">
        <is>
          <t>PENDING</t>
        </is>
      </c>
      <c r="K62" s="20" t="inlineStr">
        <is>
          <t>待确认</t>
        </is>
      </c>
      <c r="L62" s="20">
        <f>IF(B62="","",IF(OR(F62="FAIL",K62="泄漏"),"DROP",IF(G62="FAIL","RELABEL",IF(OR(H62="FAIL",I62="FAIL",J62="FAIL"),"REWORK",IF(COUNTIF(F62:J62,"PENDING")&gt;0,"PENDING","REUSE")))))</f>
        <v/>
      </c>
      <c r="M62" s="20" t="inlineStr">
        <is>
          <t>PENDING</t>
        </is>
      </c>
      <c r="N62" s="20" t="str"/>
      <c r="O62" s="20" t="str"/>
      <c r="P62" s="20" t="str"/>
      <c r="Q62" s="20" t="inlineStr">
        <is>
          <t>待确认</t>
        </is>
      </c>
      <c r="R62" s="20" t="inlineStr">
        <is>
          <t>未开始</t>
        </is>
      </c>
      <c r="S62">
        <f>IF(B62="","",IF(E62="已暴露","DEV_REG_ONLY","ANY"))</f>
        <v/>
      </c>
    </row>
    <row r="63">
      <c r="A63" s="20" t="n">
        <v>60</v>
      </c>
      <c r="B63" s="20" t="str"/>
      <c r="C63" s="20" t="str"/>
      <c r="D63" s="20" t="str"/>
      <c r="E63" s="20" t="str"/>
      <c r="F63" s="20" t="inlineStr">
        <is>
          <t>PENDING</t>
        </is>
      </c>
      <c r="G63" s="20" t="inlineStr">
        <is>
          <t>PENDING</t>
        </is>
      </c>
      <c r="H63" s="20" t="inlineStr">
        <is>
          <t>PENDING</t>
        </is>
      </c>
      <c r="I63" s="20" t="inlineStr">
        <is>
          <t>PENDING</t>
        </is>
      </c>
      <c r="J63" s="20" t="inlineStr">
        <is>
          <t>PENDING</t>
        </is>
      </c>
      <c r="K63" s="20" t="inlineStr">
        <is>
          <t>待确认</t>
        </is>
      </c>
      <c r="L63" s="20">
        <f>IF(B63="","",IF(OR(F63="FAIL",K63="泄漏"),"DROP",IF(G63="FAIL","RELABEL",IF(OR(H63="FAIL",I63="FAIL",J63="FAIL"),"REWORK",IF(COUNTIF(F63:J63,"PENDING")&gt;0,"PENDING","REUSE")))))</f>
        <v/>
      </c>
      <c r="M63" s="20" t="inlineStr">
        <is>
          <t>PENDING</t>
        </is>
      </c>
      <c r="N63" s="20" t="str"/>
      <c r="O63" s="20" t="str"/>
      <c r="P63" s="20" t="str"/>
      <c r="Q63" s="20" t="inlineStr">
        <is>
          <t>待确认</t>
        </is>
      </c>
      <c r="R63" s="20" t="inlineStr">
        <is>
          <t>未开始</t>
        </is>
      </c>
      <c r="S63">
        <f>IF(B63="","",IF(E63="已暴露","DEV_REG_ONLY","ANY"))</f>
        <v/>
      </c>
    </row>
    <row r="64">
      <c r="A64" s="20" t="n">
        <v>61</v>
      </c>
      <c r="B64" s="20" t="str"/>
      <c r="C64" s="20" t="str"/>
      <c r="D64" s="20" t="str"/>
      <c r="E64" s="20" t="str"/>
      <c r="F64" s="20" t="inlineStr">
        <is>
          <t>PENDING</t>
        </is>
      </c>
      <c r="G64" s="20" t="inlineStr">
        <is>
          <t>PENDING</t>
        </is>
      </c>
      <c r="H64" s="20" t="inlineStr">
        <is>
          <t>PENDING</t>
        </is>
      </c>
      <c r="I64" s="20" t="inlineStr">
        <is>
          <t>PENDING</t>
        </is>
      </c>
      <c r="J64" s="20" t="inlineStr">
        <is>
          <t>PENDING</t>
        </is>
      </c>
      <c r="K64" s="20" t="inlineStr">
        <is>
          <t>待确认</t>
        </is>
      </c>
      <c r="L64" s="20">
        <f>IF(B64="","",IF(OR(F64="FAIL",K64="泄漏"),"DROP",IF(G64="FAIL","RELABEL",IF(OR(H64="FAIL",I64="FAIL",J64="FAIL"),"REWORK",IF(COUNTIF(F64:J64,"PENDING")&gt;0,"PENDING","REUSE")))))</f>
        <v/>
      </c>
      <c r="M64" s="20" t="inlineStr">
        <is>
          <t>PENDING</t>
        </is>
      </c>
      <c r="N64" s="20" t="str"/>
      <c r="O64" s="20" t="str"/>
      <c r="P64" s="20" t="str"/>
      <c r="Q64" s="20" t="inlineStr">
        <is>
          <t>待确认</t>
        </is>
      </c>
      <c r="R64" s="20" t="inlineStr">
        <is>
          <t>未开始</t>
        </is>
      </c>
      <c r="S64">
        <f>IF(B64="","",IF(E64="已暴露","DEV_REG_ONLY","ANY"))</f>
        <v/>
      </c>
    </row>
    <row r="65">
      <c r="A65" s="20" t="n">
        <v>62</v>
      </c>
      <c r="B65" s="20" t="str"/>
      <c r="C65" s="20" t="str"/>
      <c r="D65" s="20" t="str"/>
      <c r="E65" s="20" t="str"/>
      <c r="F65" s="20" t="inlineStr">
        <is>
          <t>PENDING</t>
        </is>
      </c>
      <c r="G65" s="20" t="inlineStr">
        <is>
          <t>PENDING</t>
        </is>
      </c>
      <c r="H65" s="20" t="inlineStr">
        <is>
          <t>PENDING</t>
        </is>
      </c>
      <c r="I65" s="20" t="inlineStr">
        <is>
          <t>PENDING</t>
        </is>
      </c>
      <c r="J65" s="20" t="inlineStr">
        <is>
          <t>PENDING</t>
        </is>
      </c>
      <c r="K65" s="20" t="inlineStr">
        <is>
          <t>待确认</t>
        </is>
      </c>
      <c r="L65" s="20">
        <f>IF(B65="","",IF(OR(F65="FAIL",K65="泄漏"),"DROP",IF(G65="FAIL","RELABEL",IF(OR(H65="FAIL",I65="FAIL",J65="FAIL"),"REWORK",IF(COUNTIF(F65:J65,"PENDING")&gt;0,"PENDING","REUSE")))))</f>
        <v/>
      </c>
      <c r="M65" s="20" t="inlineStr">
        <is>
          <t>PENDING</t>
        </is>
      </c>
      <c r="N65" s="20" t="str"/>
      <c r="O65" s="20" t="str"/>
      <c r="P65" s="20" t="str"/>
      <c r="Q65" s="20" t="inlineStr">
        <is>
          <t>待确认</t>
        </is>
      </c>
      <c r="R65" s="20" t="inlineStr">
        <is>
          <t>未开始</t>
        </is>
      </c>
      <c r="S65">
        <f>IF(B65="","",IF(E65="已暴露","DEV_REG_ONLY","ANY"))</f>
        <v/>
      </c>
    </row>
    <row r="66">
      <c r="A66" s="20" t="n">
        <v>63</v>
      </c>
      <c r="B66" s="20" t="str"/>
      <c r="C66" s="20" t="str"/>
      <c r="D66" s="20" t="str"/>
      <c r="E66" s="20" t="str"/>
      <c r="F66" s="20" t="inlineStr">
        <is>
          <t>PENDING</t>
        </is>
      </c>
      <c r="G66" s="20" t="inlineStr">
        <is>
          <t>PENDING</t>
        </is>
      </c>
      <c r="H66" s="20" t="inlineStr">
        <is>
          <t>PENDING</t>
        </is>
      </c>
      <c r="I66" s="20" t="inlineStr">
        <is>
          <t>PENDING</t>
        </is>
      </c>
      <c r="J66" s="20" t="inlineStr">
        <is>
          <t>PENDING</t>
        </is>
      </c>
      <c r="K66" s="20" t="inlineStr">
        <is>
          <t>待确认</t>
        </is>
      </c>
      <c r="L66" s="20">
        <f>IF(B66="","",IF(OR(F66="FAIL",K66="泄漏"),"DROP",IF(G66="FAIL","RELABEL",IF(OR(H66="FAIL",I66="FAIL",J66="FAIL"),"REWORK",IF(COUNTIF(F66:J66,"PENDING")&gt;0,"PENDING","REUSE")))))</f>
        <v/>
      </c>
      <c r="M66" s="20" t="inlineStr">
        <is>
          <t>PENDING</t>
        </is>
      </c>
      <c r="N66" s="20" t="str"/>
      <c r="O66" s="20" t="str"/>
      <c r="P66" s="20" t="str"/>
      <c r="Q66" s="20" t="inlineStr">
        <is>
          <t>待确认</t>
        </is>
      </c>
      <c r="R66" s="20" t="inlineStr">
        <is>
          <t>未开始</t>
        </is>
      </c>
      <c r="S66">
        <f>IF(B66="","",IF(E66="已暴露","DEV_REG_ONLY","ANY"))</f>
        <v/>
      </c>
    </row>
    <row r="67">
      <c r="A67" s="20" t="n">
        <v>64</v>
      </c>
      <c r="B67" s="20" t="str"/>
      <c r="C67" s="20" t="str"/>
      <c r="D67" s="20" t="str"/>
      <c r="E67" s="20" t="str"/>
      <c r="F67" s="20" t="inlineStr">
        <is>
          <t>PENDING</t>
        </is>
      </c>
      <c r="G67" s="20" t="inlineStr">
        <is>
          <t>PENDING</t>
        </is>
      </c>
      <c r="H67" s="20" t="inlineStr">
        <is>
          <t>PENDING</t>
        </is>
      </c>
      <c r="I67" s="20" t="inlineStr">
        <is>
          <t>PENDING</t>
        </is>
      </c>
      <c r="J67" s="20" t="inlineStr">
        <is>
          <t>PENDING</t>
        </is>
      </c>
      <c r="K67" s="20" t="inlineStr">
        <is>
          <t>待确认</t>
        </is>
      </c>
      <c r="L67" s="20">
        <f>IF(B67="","",IF(OR(F67="FAIL",K67="泄漏"),"DROP",IF(G67="FAIL","RELABEL",IF(OR(H67="FAIL",I67="FAIL",J67="FAIL"),"REWORK",IF(COUNTIF(F67:J67,"PENDING")&gt;0,"PENDING","REUSE")))))</f>
        <v/>
      </c>
      <c r="M67" s="20" t="inlineStr">
        <is>
          <t>PENDING</t>
        </is>
      </c>
      <c r="N67" s="20" t="str"/>
      <c r="O67" s="20" t="str"/>
      <c r="P67" s="20" t="str"/>
      <c r="Q67" s="20" t="inlineStr">
        <is>
          <t>待确认</t>
        </is>
      </c>
      <c r="R67" s="20" t="inlineStr">
        <is>
          <t>未开始</t>
        </is>
      </c>
      <c r="S67">
        <f>IF(B67="","",IF(E67="已暴露","DEV_REG_ONLY","ANY"))</f>
        <v/>
      </c>
    </row>
    <row r="68">
      <c r="A68" s="20" t="n">
        <v>65</v>
      </c>
      <c r="B68" s="20" t="str"/>
      <c r="C68" s="20" t="str"/>
      <c r="D68" s="20" t="str"/>
      <c r="E68" s="20" t="str"/>
      <c r="F68" s="20" t="inlineStr">
        <is>
          <t>PENDING</t>
        </is>
      </c>
      <c r="G68" s="20" t="inlineStr">
        <is>
          <t>PENDING</t>
        </is>
      </c>
      <c r="H68" s="20" t="inlineStr">
        <is>
          <t>PENDING</t>
        </is>
      </c>
      <c r="I68" s="20" t="inlineStr">
        <is>
          <t>PENDING</t>
        </is>
      </c>
      <c r="J68" s="20" t="inlineStr">
        <is>
          <t>PENDING</t>
        </is>
      </c>
      <c r="K68" s="20" t="inlineStr">
        <is>
          <t>待确认</t>
        </is>
      </c>
      <c r="L68" s="20">
        <f>IF(B68="","",IF(OR(F68="FAIL",K68="泄漏"),"DROP",IF(G68="FAIL","RELABEL",IF(OR(H68="FAIL",I68="FAIL",J68="FAIL"),"REWORK",IF(COUNTIF(F68:J68,"PENDING")&gt;0,"PENDING","REUSE")))))</f>
        <v/>
      </c>
      <c r="M68" s="20" t="inlineStr">
        <is>
          <t>PENDING</t>
        </is>
      </c>
      <c r="N68" s="20" t="str"/>
      <c r="O68" s="20" t="str"/>
      <c r="P68" s="20" t="str"/>
      <c r="Q68" s="20" t="inlineStr">
        <is>
          <t>待确认</t>
        </is>
      </c>
      <c r="R68" s="20" t="inlineStr">
        <is>
          <t>未开始</t>
        </is>
      </c>
      <c r="S68">
        <f>IF(B68="","",IF(E68="已暴露","DEV_REG_ONLY","ANY"))</f>
        <v/>
      </c>
    </row>
    <row r="69">
      <c r="A69" s="20" t="n">
        <v>66</v>
      </c>
      <c r="B69" s="20" t="str"/>
      <c r="C69" s="20" t="str"/>
      <c r="D69" s="20" t="str"/>
      <c r="E69" s="20" t="str"/>
      <c r="F69" s="20" t="inlineStr">
        <is>
          <t>PENDING</t>
        </is>
      </c>
      <c r="G69" s="20" t="inlineStr">
        <is>
          <t>PENDING</t>
        </is>
      </c>
      <c r="H69" s="20" t="inlineStr">
        <is>
          <t>PENDING</t>
        </is>
      </c>
      <c r="I69" s="20" t="inlineStr">
        <is>
          <t>PENDING</t>
        </is>
      </c>
      <c r="J69" s="20" t="inlineStr">
        <is>
          <t>PENDING</t>
        </is>
      </c>
      <c r="K69" s="20" t="inlineStr">
        <is>
          <t>待确认</t>
        </is>
      </c>
      <c r="L69" s="20">
        <f>IF(B69="","",IF(OR(F69="FAIL",K69="泄漏"),"DROP",IF(G69="FAIL","RELABEL",IF(OR(H69="FAIL",I69="FAIL",J69="FAIL"),"REWORK",IF(COUNTIF(F69:J69,"PENDING")&gt;0,"PENDING","REUSE")))))</f>
        <v/>
      </c>
      <c r="M69" s="20" t="inlineStr">
        <is>
          <t>PENDING</t>
        </is>
      </c>
      <c r="N69" s="20" t="str"/>
      <c r="O69" s="20" t="str"/>
      <c r="P69" s="20" t="str"/>
      <c r="Q69" s="20" t="inlineStr">
        <is>
          <t>待确认</t>
        </is>
      </c>
      <c r="R69" s="20" t="inlineStr">
        <is>
          <t>未开始</t>
        </is>
      </c>
      <c r="S69">
        <f>IF(B69="","",IF(E69="已暴露","DEV_REG_ONLY","ANY"))</f>
        <v/>
      </c>
    </row>
    <row r="70">
      <c r="A70" s="20" t="n">
        <v>67</v>
      </c>
      <c r="B70" s="20" t="str"/>
      <c r="C70" s="20" t="str"/>
      <c r="D70" s="20" t="str"/>
      <c r="E70" s="20" t="str"/>
      <c r="F70" s="20" t="inlineStr">
        <is>
          <t>PENDING</t>
        </is>
      </c>
      <c r="G70" s="20" t="inlineStr">
        <is>
          <t>PENDING</t>
        </is>
      </c>
      <c r="H70" s="20" t="inlineStr">
        <is>
          <t>PENDING</t>
        </is>
      </c>
      <c r="I70" s="20" t="inlineStr">
        <is>
          <t>PENDING</t>
        </is>
      </c>
      <c r="J70" s="20" t="inlineStr">
        <is>
          <t>PENDING</t>
        </is>
      </c>
      <c r="K70" s="20" t="inlineStr">
        <is>
          <t>待确认</t>
        </is>
      </c>
      <c r="L70" s="20">
        <f>IF(B70="","",IF(OR(F70="FAIL",K70="泄漏"),"DROP",IF(G70="FAIL","RELABEL",IF(OR(H70="FAIL",I70="FAIL",J70="FAIL"),"REWORK",IF(COUNTIF(F70:J70,"PENDING")&gt;0,"PENDING","REUSE")))))</f>
        <v/>
      </c>
      <c r="M70" s="20" t="inlineStr">
        <is>
          <t>PENDING</t>
        </is>
      </c>
      <c r="N70" s="20" t="str"/>
      <c r="O70" s="20" t="str"/>
      <c r="P70" s="20" t="str"/>
      <c r="Q70" s="20" t="inlineStr">
        <is>
          <t>待确认</t>
        </is>
      </c>
      <c r="R70" s="20" t="inlineStr">
        <is>
          <t>未开始</t>
        </is>
      </c>
      <c r="S70">
        <f>IF(B70="","",IF(E70="已暴露","DEV_REG_ONLY","ANY"))</f>
        <v/>
      </c>
    </row>
    <row r="71">
      <c r="A71" s="20" t="n">
        <v>68</v>
      </c>
      <c r="B71" s="20" t="str"/>
      <c r="C71" s="20" t="str"/>
      <c r="D71" s="20" t="str"/>
      <c r="E71" s="20" t="str"/>
      <c r="F71" s="20" t="inlineStr">
        <is>
          <t>PENDING</t>
        </is>
      </c>
      <c r="G71" s="20" t="inlineStr">
        <is>
          <t>PENDING</t>
        </is>
      </c>
      <c r="H71" s="20" t="inlineStr">
        <is>
          <t>PENDING</t>
        </is>
      </c>
      <c r="I71" s="20" t="inlineStr">
        <is>
          <t>PENDING</t>
        </is>
      </c>
      <c r="J71" s="20" t="inlineStr">
        <is>
          <t>PENDING</t>
        </is>
      </c>
      <c r="K71" s="20" t="inlineStr">
        <is>
          <t>待确认</t>
        </is>
      </c>
      <c r="L71" s="20">
        <f>IF(B71="","",IF(OR(F71="FAIL",K71="泄漏"),"DROP",IF(G71="FAIL","RELABEL",IF(OR(H71="FAIL",I71="FAIL",J71="FAIL"),"REWORK",IF(COUNTIF(F71:J71,"PENDING")&gt;0,"PENDING","REUSE")))))</f>
        <v/>
      </c>
      <c r="M71" s="20" t="inlineStr">
        <is>
          <t>PENDING</t>
        </is>
      </c>
      <c r="N71" s="20" t="str"/>
      <c r="O71" s="20" t="str"/>
      <c r="P71" s="20" t="str"/>
      <c r="Q71" s="20" t="inlineStr">
        <is>
          <t>待确认</t>
        </is>
      </c>
      <c r="R71" s="20" t="inlineStr">
        <is>
          <t>未开始</t>
        </is>
      </c>
      <c r="S71">
        <f>IF(B71="","",IF(E71="已暴露","DEV_REG_ONLY","ANY"))</f>
        <v/>
      </c>
    </row>
    <row r="72">
      <c r="A72" s="20" t="n">
        <v>69</v>
      </c>
      <c r="B72" s="20" t="str"/>
      <c r="C72" s="20" t="str"/>
      <c r="D72" s="20" t="str"/>
      <c r="E72" s="20" t="str"/>
      <c r="F72" s="20" t="inlineStr">
        <is>
          <t>PENDING</t>
        </is>
      </c>
      <c r="G72" s="20" t="inlineStr">
        <is>
          <t>PENDING</t>
        </is>
      </c>
      <c r="H72" s="20" t="inlineStr">
        <is>
          <t>PENDING</t>
        </is>
      </c>
      <c r="I72" s="20" t="inlineStr">
        <is>
          <t>PENDING</t>
        </is>
      </c>
      <c r="J72" s="20" t="inlineStr">
        <is>
          <t>PENDING</t>
        </is>
      </c>
      <c r="K72" s="20" t="inlineStr">
        <is>
          <t>待确认</t>
        </is>
      </c>
      <c r="L72" s="20">
        <f>IF(B72="","",IF(OR(F72="FAIL",K72="泄漏"),"DROP",IF(G72="FAIL","RELABEL",IF(OR(H72="FAIL",I72="FAIL",J72="FAIL"),"REWORK",IF(COUNTIF(F72:J72,"PENDING")&gt;0,"PENDING","REUSE")))))</f>
        <v/>
      </c>
      <c r="M72" s="20" t="inlineStr">
        <is>
          <t>PENDING</t>
        </is>
      </c>
      <c r="N72" s="20" t="str"/>
      <c r="O72" s="20" t="str"/>
      <c r="P72" s="20" t="str"/>
      <c r="Q72" s="20" t="inlineStr">
        <is>
          <t>待确认</t>
        </is>
      </c>
      <c r="R72" s="20" t="inlineStr">
        <is>
          <t>未开始</t>
        </is>
      </c>
      <c r="S72">
        <f>IF(B72="","",IF(E72="已暴露","DEV_REG_ONLY","ANY"))</f>
        <v/>
      </c>
    </row>
    <row r="73">
      <c r="A73" s="20" t="n">
        <v>70</v>
      </c>
      <c r="B73" s="20" t="str"/>
      <c r="C73" s="20" t="str"/>
      <c r="D73" s="20" t="str"/>
      <c r="E73" s="20" t="str"/>
      <c r="F73" s="20" t="inlineStr">
        <is>
          <t>PENDING</t>
        </is>
      </c>
      <c r="G73" s="20" t="inlineStr">
        <is>
          <t>PENDING</t>
        </is>
      </c>
      <c r="H73" s="20" t="inlineStr">
        <is>
          <t>PENDING</t>
        </is>
      </c>
      <c r="I73" s="20" t="inlineStr">
        <is>
          <t>PENDING</t>
        </is>
      </c>
      <c r="J73" s="20" t="inlineStr">
        <is>
          <t>PENDING</t>
        </is>
      </c>
      <c r="K73" s="20" t="inlineStr">
        <is>
          <t>待确认</t>
        </is>
      </c>
      <c r="L73" s="20">
        <f>IF(B73="","",IF(OR(F73="FAIL",K73="泄漏"),"DROP",IF(G73="FAIL","RELABEL",IF(OR(H73="FAIL",I73="FAIL",J73="FAIL"),"REWORK",IF(COUNTIF(F73:J73,"PENDING")&gt;0,"PENDING","REUSE")))))</f>
        <v/>
      </c>
      <c r="M73" s="20" t="inlineStr">
        <is>
          <t>PENDING</t>
        </is>
      </c>
      <c r="N73" s="20" t="str"/>
      <c r="O73" s="20" t="str"/>
      <c r="P73" s="20" t="str"/>
      <c r="Q73" s="20" t="inlineStr">
        <is>
          <t>待确认</t>
        </is>
      </c>
      <c r="R73" s="20" t="inlineStr">
        <is>
          <t>未开始</t>
        </is>
      </c>
      <c r="S73">
        <f>IF(B73="","",IF(E73="已暴露","DEV_REG_ONLY","ANY"))</f>
        <v/>
      </c>
    </row>
    <row r="74">
      <c r="A74" s="20" t="n">
        <v>71</v>
      </c>
      <c r="B74" s="20" t="str"/>
      <c r="C74" s="20" t="str"/>
      <c r="D74" s="20" t="str"/>
      <c r="E74" s="20" t="str"/>
      <c r="F74" s="20" t="inlineStr">
        <is>
          <t>PENDING</t>
        </is>
      </c>
      <c r="G74" s="20" t="inlineStr">
        <is>
          <t>PENDING</t>
        </is>
      </c>
      <c r="H74" s="20" t="inlineStr">
        <is>
          <t>PENDING</t>
        </is>
      </c>
      <c r="I74" s="20" t="inlineStr">
        <is>
          <t>PENDING</t>
        </is>
      </c>
      <c r="J74" s="20" t="inlineStr">
        <is>
          <t>PENDING</t>
        </is>
      </c>
      <c r="K74" s="20" t="inlineStr">
        <is>
          <t>待确认</t>
        </is>
      </c>
      <c r="L74" s="20">
        <f>IF(B74="","",IF(OR(F74="FAIL",K74="泄漏"),"DROP",IF(G74="FAIL","RELABEL",IF(OR(H74="FAIL",I74="FAIL",J74="FAIL"),"REWORK",IF(COUNTIF(F74:J74,"PENDING")&gt;0,"PENDING","REUSE")))))</f>
        <v/>
      </c>
      <c r="M74" s="20" t="inlineStr">
        <is>
          <t>PENDING</t>
        </is>
      </c>
      <c r="N74" s="20" t="str"/>
      <c r="O74" s="20" t="str"/>
      <c r="P74" s="20" t="str"/>
      <c r="Q74" s="20" t="inlineStr">
        <is>
          <t>待确认</t>
        </is>
      </c>
      <c r="R74" s="20" t="inlineStr">
        <is>
          <t>未开始</t>
        </is>
      </c>
      <c r="S74">
        <f>IF(B74="","",IF(E74="已暴露","DEV_REG_ONLY","ANY"))</f>
        <v/>
      </c>
    </row>
    <row r="75">
      <c r="A75" s="20" t="n">
        <v>72</v>
      </c>
      <c r="B75" s="20" t="str"/>
      <c r="C75" s="20" t="str"/>
      <c r="D75" s="20" t="str"/>
      <c r="E75" s="20" t="str"/>
      <c r="F75" s="20" t="inlineStr">
        <is>
          <t>PENDING</t>
        </is>
      </c>
      <c r="G75" s="20" t="inlineStr">
        <is>
          <t>PENDING</t>
        </is>
      </c>
      <c r="H75" s="20" t="inlineStr">
        <is>
          <t>PENDING</t>
        </is>
      </c>
      <c r="I75" s="20" t="inlineStr">
        <is>
          <t>PENDING</t>
        </is>
      </c>
      <c r="J75" s="20" t="inlineStr">
        <is>
          <t>PENDING</t>
        </is>
      </c>
      <c r="K75" s="20" t="inlineStr">
        <is>
          <t>待确认</t>
        </is>
      </c>
      <c r="L75" s="20">
        <f>IF(B75="","",IF(OR(F75="FAIL",K75="泄漏"),"DROP",IF(G75="FAIL","RELABEL",IF(OR(H75="FAIL",I75="FAIL",J75="FAIL"),"REWORK",IF(COUNTIF(F75:J75,"PENDING")&gt;0,"PENDING","REUSE")))))</f>
        <v/>
      </c>
      <c r="M75" s="20" t="inlineStr">
        <is>
          <t>PENDING</t>
        </is>
      </c>
      <c r="N75" s="20" t="str"/>
      <c r="O75" s="20" t="str"/>
      <c r="P75" s="20" t="str"/>
      <c r="Q75" s="20" t="inlineStr">
        <is>
          <t>待确认</t>
        </is>
      </c>
      <c r="R75" s="20" t="inlineStr">
        <is>
          <t>未开始</t>
        </is>
      </c>
      <c r="S75">
        <f>IF(B75="","",IF(E75="已暴露","DEV_REG_ONLY","ANY"))</f>
        <v/>
      </c>
    </row>
    <row r="76">
      <c r="A76" s="20" t="n">
        <v>73</v>
      </c>
      <c r="B76" s="20" t="str"/>
      <c r="C76" s="20" t="str"/>
      <c r="D76" s="20" t="str"/>
      <c r="E76" s="20" t="str"/>
      <c r="F76" s="20" t="inlineStr">
        <is>
          <t>PENDING</t>
        </is>
      </c>
      <c r="G76" s="20" t="inlineStr">
        <is>
          <t>PENDING</t>
        </is>
      </c>
      <c r="H76" s="20" t="inlineStr">
        <is>
          <t>PENDING</t>
        </is>
      </c>
      <c r="I76" s="20" t="inlineStr">
        <is>
          <t>PENDING</t>
        </is>
      </c>
      <c r="J76" s="20" t="inlineStr">
        <is>
          <t>PENDING</t>
        </is>
      </c>
      <c r="K76" s="20" t="inlineStr">
        <is>
          <t>待确认</t>
        </is>
      </c>
      <c r="L76" s="20">
        <f>IF(B76="","",IF(OR(F76="FAIL",K76="泄漏"),"DROP",IF(G76="FAIL","RELABEL",IF(OR(H76="FAIL",I76="FAIL",J76="FAIL"),"REWORK",IF(COUNTIF(F76:J76,"PENDING")&gt;0,"PENDING","REUSE")))))</f>
        <v/>
      </c>
      <c r="M76" s="20" t="inlineStr">
        <is>
          <t>PENDING</t>
        </is>
      </c>
      <c r="N76" s="20" t="str"/>
      <c r="O76" s="20" t="str"/>
      <c r="P76" s="20" t="str"/>
      <c r="Q76" s="20" t="inlineStr">
        <is>
          <t>待确认</t>
        </is>
      </c>
      <c r="R76" s="20" t="inlineStr">
        <is>
          <t>未开始</t>
        </is>
      </c>
      <c r="S76">
        <f>IF(B76="","",IF(E76="已暴露","DEV_REG_ONLY","ANY"))</f>
        <v/>
      </c>
    </row>
    <row r="77">
      <c r="A77" s="20" t="n">
        <v>74</v>
      </c>
      <c r="B77" s="20" t="str"/>
      <c r="C77" s="20" t="str"/>
      <c r="D77" s="20" t="str"/>
      <c r="E77" s="20" t="str"/>
      <c r="F77" s="20" t="inlineStr">
        <is>
          <t>PENDING</t>
        </is>
      </c>
      <c r="G77" s="20" t="inlineStr">
        <is>
          <t>PENDING</t>
        </is>
      </c>
      <c r="H77" s="20" t="inlineStr">
        <is>
          <t>PENDING</t>
        </is>
      </c>
      <c r="I77" s="20" t="inlineStr">
        <is>
          <t>PENDING</t>
        </is>
      </c>
      <c r="J77" s="20" t="inlineStr">
        <is>
          <t>PENDING</t>
        </is>
      </c>
      <c r="K77" s="20" t="inlineStr">
        <is>
          <t>待确认</t>
        </is>
      </c>
      <c r="L77" s="20">
        <f>IF(B77="","",IF(OR(F77="FAIL",K77="泄漏"),"DROP",IF(G77="FAIL","RELABEL",IF(OR(H77="FAIL",I77="FAIL",J77="FAIL"),"REWORK",IF(COUNTIF(F77:J77,"PENDING")&gt;0,"PENDING","REUSE")))))</f>
        <v/>
      </c>
      <c r="M77" s="20" t="inlineStr">
        <is>
          <t>PENDING</t>
        </is>
      </c>
      <c r="N77" s="20" t="str"/>
      <c r="O77" s="20" t="str"/>
      <c r="P77" s="20" t="str"/>
      <c r="Q77" s="20" t="inlineStr">
        <is>
          <t>待确认</t>
        </is>
      </c>
      <c r="R77" s="20" t="inlineStr">
        <is>
          <t>未开始</t>
        </is>
      </c>
      <c r="S77">
        <f>IF(B77="","",IF(E77="已暴露","DEV_REG_ONLY","ANY"))</f>
        <v/>
      </c>
    </row>
    <row r="78">
      <c r="A78" s="20" t="n">
        <v>75</v>
      </c>
      <c r="B78" s="20" t="str"/>
      <c r="C78" s="20" t="str"/>
      <c r="D78" s="20" t="str"/>
      <c r="E78" s="20" t="str"/>
      <c r="F78" s="20" t="inlineStr">
        <is>
          <t>PENDING</t>
        </is>
      </c>
      <c r="G78" s="20" t="inlineStr">
        <is>
          <t>PENDING</t>
        </is>
      </c>
      <c r="H78" s="20" t="inlineStr">
        <is>
          <t>PENDING</t>
        </is>
      </c>
      <c r="I78" s="20" t="inlineStr">
        <is>
          <t>PENDING</t>
        </is>
      </c>
      <c r="J78" s="20" t="inlineStr">
        <is>
          <t>PENDING</t>
        </is>
      </c>
      <c r="K78" s="20" t="inlineStr">
        <is>
          <t>待确认</t>
        </is>
      </c>
      <c r="L78" s="20">
        <f>IF(B78="","",IF(OR(F78="FAIL",K78="泄漏"),"DROP",IF(G78="FAIL","RELABEL",IF(OR(H78="FAIL",I78="FAIL",J78="FAIL"),"REWORK",IF(COUNTIF(F78:J78,"PENDING")&gt;0,"PENDING","REUSE")))))</f>
        <v/>
      </c>
      <c r="M78" s="20" t="inlineStr">
        <is>
          <t>PENDING</t>
        </is>
      </c>
      <c r="N78" s="20" t="str"/>
      <c r="O78" s="20" t="str"/>
      <c r="P78" s="20" t="str"/>
      <c r="Q78" s="20" t="inlineStr">
        <is>
          <t>待确认</t>
        </is>
      </c>
      <c r="R78" s="20" t="inlineStr">
        <is>
          <t>未开始</t>
        </is>
      </c>
      <c r="S78">
        <f>IF(B78="","",IF(E78="已暴露","DEV_REG_ONLY","ANY"))</f>
        <v/>
      </c>
    </row>
    <row r="79">
      <c r="A79" s="20" t="n">
        <v>76</v>
      </c>
      <c r="B79" s="20" t="str"/>
      <c r="C79" s="20" t="str"/>
      <c r="D79" s="20" t="str"/>
      <c r="E79" s="20" t="str"/>
      <c r="F79" s="20" t="inlineStr">
        <is>
          <t>PENDING</t>
        </is>
      </c>
      <c r="G79" s="20" t="inlineStr">
        <is>
          <t>PENDING</t>
        </is>
      </c>
      <c r="H79" s="20" t="inlineStr">
        <is>
          <t>PENDING</t>
        </is>
      </c>
      <c r="I79" s="20" t="inlineStr">
        <is>
          <t>PENDING</t>
        </is>
      </c>
      <c r="J79" s="20" t="inlineStr">
        <is>
          <t>PENDING</t>
        </is>
      </c>
      <c r="K79" s="20" t="inlineStr">
        <is>
          <t>待确认</t>
        </is>
      </c>
      <c r="L79" s="20">
        <f>IF(B79="","",IF(OR(F79="FAIL",K79="泄漏"),"DROP",IF(G79="FAIL","RELABEL",IF(OR(H79="FAIL",I79="FAIL",J79="FAIL"),"REWORK",IF(COUNTIF(F79:J79,"PENDING")&gt;0,"PENDING","REUSE")))))</f>
        <v/>
      </c>
      <c r="M79" s="20" t="inlineStr">
        <is>
          <t>PENDING</t>
        </is>
      </c>
      <c r="N79" s="20" t="str"/>
      <c r="O79" s="20" t="str"/>
      <c r="P79" s="20" t="str"/>
      <c r="Q79" s="20" t="inlineStr">
        <is>
          <t>待确认</t>
        </is>
      </c>
      <c r="R79" s="20" t="inlineStr">
        <is>
          <t>未开始</t>
        </is>
      </c>
      <c r="S79">
        <f>IF(B79="","",IF(E79="已暴露","DEV_REG_ONLY","ANY"))</f>
        <v/>
      </c>
    </row>
    <row r="80">
      <c r="A80" s="20" t="n">
        <v>77</v>
      </c>
      <c r="B80" s="20" t="str"/>
      <c r="C80" s="20" t="str"/>
      <c r="D80" s="20" t="str"/>
      <c r="E80" s="20" t="str"/>
      <c r="F80" s="20" t="inlineStr">
        <is>
          <t>PENDING</t>
        </is>
      </c>
      <c r="G80" s="20" t="inlineStr">
        <is>
          <t>PENDING</t>
        </is>
      </c>
      <c r="H80" s="20" t="inlineStr">
        <is>
          <t>PENDING</t>
        </is>
      </c>
      <c r="I80" s="20" t="inlineStr">
        <is>
          <t>PENDING</t>
        </is>
      </c>
      <c r="J80" s="20" t="inlineStr">
        <is>
          <t>PENDING</t>
        </is>
      </c>
      <c r="K80" s="20" t="inlineStr">
        <is>
          <t>待确认</t>
        </is>
      </c>
      <c r="L80" s="20">
        <f>IF(B80="","",IF(OR(F80="FAIL",K80="泄漏"),"DROP",IF(G80="FAIL","RELABEL",IF(OR(H80="FAIL",I80="FAIL",J80="FAIL"),"REWORK",IF(COUNTIF(F80:J80,"PENDING")&gt;0,"PENDING","REUSE")))))</f>
        <v/>
      </c>
      <c r="M80" s="20" t="inlineStr">
        <is>
          <t>PENDING</t>
        </is>
      </c>
      <c r="N80" s="20" t="str"/>
      <c r="O80" s="20" t="str"/>
      <c r="P80" s="20" t="str"/>
      <c r="Q80" s="20" t="inlineStr">
        <is>
          <t>待确认</t>
        </is>
      </c>
      <c r="R80" s="20" t="inlineStr">
        <is>
          <t>未开始</t>
        </is>
      </c>
      <c r="S80">
        <f>IF(B80="","",IF(E80="已暴露","DEV_REG_ONLY","ANY"))</f>
        <v/>
      </c>
    </row>
    <row r="81">
      <c r="A81" s="20" t="n">
        <v>78</v>
      </c>
      <c r="B81" s="20" t="str"/>
      <c r="C81" s="20" t="str"/>
      <c r="D81" s="20" t="str"/>
      <c r="E81" s="20" t="str"/>
      <c r="F81" s="20" t="inlineStr">
        <is>
          <t>PENDING</t>
        </is>
      </c>
      <c r="G81" s="20" t="inlineStr">
        <is>
          <t>PENDING</t>
        </is>
      </c>
      <c r="H81" s="20" t="inlineStr">
        <is>
          <t>PENDING</t>
        </is>
      </c>
      <c r="I81" s="20" t="inlineStr">
        <is>
          <t>PENDING</t>
        </is>
      </c>
      <c r="J81" s="20" t="inlineStr">
        <is>
          <t>PENDING</t>
        </is>
      </c>
      <c r="K81" s="20" t="inlineStr">
        <is>
          <t>待确认</t>
        </is>
      </c>
      <c r="L81" s="20">
        <f>IF(B81="","",IF(OR(F81="FAIL",K81="泄漏"),"DROP",IF(G81="FAIL","RELABEL",IF(OR(H81="FAIL",I81="FAIL",J81="FAIL"),"REWORK",IF(COUNTIF(F81:J81,"PENDING")&gt;0,"PENDING","REUSE")))))</f>
        <v/>
      </c>
      <c r="M81" s="20" t="inlineStr">
        <is>
          <t>PENDING</t>
        </is>
      </c>
      <c r="N81" s="20" t="str"/>
      <c r="O81" s="20" t="str"/>
      <c r="P81" s="20" t="str"/>
      <c r="Q81" s="20" t="inlineStr">
        <is>
          <t>待确认</t>
        </is>
      </c>
      <c r="R81" s="20" t="inlineStr">
        <is>
          <t>未开始</t>
        </is>
      </c>
      <c r="S81">
        <f>IF(B81="","",IF(E81="已暴露","DEV_REG_ONLY","ANY"))</f>
        <v/>
      </c>
    </row>
    <row r="82">
      <c r="A82" s="20" t="n">
        <v>79</v>
      </c>
      <c r="B82" s="20" t="str"/>
      <c r="C82" s="20" t="str"/>
      <c r="D82" s="20" t="str"/>
      <c r="E82" s="20" t="str"/>
      <c r="F82" s="20" t="inlineStr">
        <is>
          <t>PENDING</t>
        </is>
      </c>
      <c r="G82" s="20" t="inlineStr">
        <is>
          <t>PENDING</t>
        </is>
      </c>
      <c r="H82" s="20" t="inlineStr">
        <is>
          <t>PENDING</t>
        </is>
      </c>
      <c r="I82" s="20" t="inlineStr">
        <is>
          <t>PENDING</t>
        </is>
      </c>
      <c r="J82" s="20" t="inlineStr">
        <is>
          <t>PENDING</t>
        </is>
      </c>
      <c r="K82" s="20" t="inlineStr">
        <is>
          <t>待确认</t>
        </is>
      </c>
      <c r="L82" s="20">
        <f>IF(B82="","",IF(OR(F82="FAIL",K82="泄漏"),"DROP",IF(G82="FAIL","RELABEL",IF(OR(H82="FAIL",I82="FAIL",J82="FAIL"),"REWORK",IF(COUNTIF(F82:J82,"PENDING")&gt;0,"PENDING","REUSE")))))</f>
        <v/>
      </c>
      <c r="M82" s="20" t="inlineStr">
        <is>
          <t>PENDING</t>
        </is>
      </c>
      <c r="N82" s="20" t="str"/>
      <c r="O82" s="20" t="str"/>
      <c r="P82" s="20" t="str"/>
      <c r="Q82" s="20" t="inlineStr">
        <is>
          <t>待确认</t>
        </is>
      </c>
      <c r="R82" s="20" t="inlineStr">
        <is>
          <t>未开始</t>
        </is>
      </c>
      <c r="S82">
        <f>IF(B82="","",IF(E82="已暴露","DEV_REG_ONLY","ANY"))</f>
        <v/>
      </c>
    </row>
    <row r="83">
      <c r="A83" s="20" t="n">
        <v>80</v>
      </c>
      <c r="B83" s="20" t="str"/>
      <c r="C83" s="20" t="str"/>
      <c r="D83" s="20" t="str"/>
      <c r="E83" s="20" t="str"/>
      <c r="F83" s="20" t="inlineStr">
        <is>
          <t>PENDING</t>
        </is>
      </c>
      <c r="G83" s="20" t="inlineStr">
        <is>
          <t>PENDING</t>
        </is>
      </c>
      <c r="H83" s="20" t="inlineStr">
        <is>
          <t>PENDING</t>
        </is>
      </c>
      <c r="I83" s="20" t="inlineStr">
        <is>
          <t>PENDING</t>
        </is>
      </c>
      <c r="J83" s="20" t="inlineStr">
        <is>
          <t>PENDING</t>
        </is>
      </c>
      <c r="K83" s="20" t="inlineStr">
        <is>
          <t>待确认</t>
        </is>
      </c>
      <c r="L83" s="20">
        <f>IF(B83="","",IF(OR(F83="FAIL",K83="泄漏"),"DROP",IF(G83="FAIL","RELABEL",IF(OR(H83="FAIL",I83="FAIL",J83="FAIL"),"REWORK",IF(COUNTIF(F83:J83,"PENDING")&gt;0,"PENDING","REUSE")))))</f>
        <v/>
      </c>
      <c r="M83" s="20" t="inlineStr">
        <is>
          <t>PENDING</t>
        </is>
      </c>
      <c r="N83" s="20" t="str"/>
      <c r="O83" s="20" t="str"/>
      <c r="P83" s="20" t="str"/>
      <c r="Q83" s="20" t="inlineStr">
        <is>
          <t>待确认</t>
        </is>
      </c>
      <c r="R83" s="20" t="inlineStr">
        <is>
          <t>未开始</t>
        </is>
      </c>
      <c r="S83">
        <f>IF(B83="","",IF(E83="已暴露","DEV_REG_ONLY","ANY"))</f>
        <v/>
      </c>
    </row>
    <row r="84">
      <c r="A84" s="20" t="n">
        <v>81</v>
      </c>
      <c r="B84" s="20" t="str"/>
      <c r="C84" s="20" t="str"/>
      <c r="D84" s="20" t="str"/>
      <c r="E84" s="20" t="str"/>
      <c r="F84" s="20" t="inlineStr">
        <is>
          <t>PENDING</t>
        </is>
      </c>
      <c r="G84" s="20" t="inlineStr">
        <is>
          <t>PENDING</t>
        </is>
      </c>
      <c r="H84" s="20" t="inlineStr">
        <is>
          <t>PENDING</t>
        </is>
      </c>
      <c r="I84" s="20" t="inlineStr">
        <is>
          <t>PENDING</t>
        </is>
      </c>
      <c r="J84" s="20" t="inlineStr">
        <is>
          <t>PENDING</t>
        </is>
      </c>
      <c r="K84" s="20" t="inlineStr">
        <is>
          <t>待确认</t>
        </is>
      </c>
      <c r="L84" s="20">
        <f>IF(B84="","",IF(OR(F84="FAIL",K84="泄漏"),"DROP",IF(G84="FAIL","RELABEL",IF(OR(H84="FAIL",I84="FAIL",J84="FAIL"),"REWORK",IF(COUNTIF(F84:J84,"PENDING")&gt;0,"PENDING","REUSE")))))</f>
        <v/>
      </c>
      <c r="M84" s="20" t="inlineStr">
        <is>
          <t>PENDING</t>
        </is>
      </c>
      <c r="N84" s="20" t="str"/>
      <c r="O84" s="20" t="str"/>
      <c r="P84" s="20" t="str"/>
      <c r="Q84" s="20" t="inlineStr">
        <is>
          <t>待确认</t>
        </is>
      </c>
      <c r="R84" s="20" t="inlineStr">
        <is>
          <t>未开始</t>
        </is>
      </c>
      <c r="S84">
        <f>IF(B84="","",IF(E84="已暴露","DEV_REG_ONLY","ANY"))</f>
        <v/>
      </c>
    </row>
    <row r="85">
      <c r="A85" s="20" t="n">
        <v>82</v>
      </c>
      <c r="B85" s="20" t="str"/>
      <c r="C85" s="20" t="str"/>
      <c r="D85" s="20" t="str"/>
      <c r="E85" s="20" t="str"/>
      <c r="F85" s="20" t="inlineStr">
        <is>
          <t>PENDING</t>
        </is>
      </c>
      <c r="G85" s="20" t="inlineStr">
        <is>
          <t>PENDING</t>
        </is>
      </c>
      <c r="H85" s="20" t="inlineStr">
        <is>
          <t>PENDING</t>
        </is>
      </c>
      <c r="I85" s="20" t="inlineStr">
        <is>
          <t>PENDING</t>
        </is>
      </c>
      <c r="J85" s="20" t="inlineStr">
        <is>
          <t>PENDING</t>
        </is>
      </c>
      <c r="K85" s="20" t="inlineStr">
        <is>
          <t>待确认</t>
        </is>
      </c>
      <c r="L85" s="20">
        <f>IF(B85="","",IF(OR(F85="FAIL",K85="泄漏"),"DROP",IF(G85="FAIL","RELABEL",IF(OR(H85="FAIL",I85="FAIL",J85="FAIL"),"REWORK",IF(COUNTIF(F85:J85,"PENDING")&gt;0,"PENDING","REUSE")))))</f>
        <v/>
      </c>
      <c r="M85" s="20" t="inlineStr">
        <is>
          <t>PENDING</t>
        </is>
      </c>
      <c r="N85" s="20" t="str"/>
      <c r="O85" s="20" t="str"/>
      <c r="P85" s="20" t="str"/>
      <c r="Q85" s="20" t="inlineStr">
        <is>
          <t>待确认</t>
        </is>
      </c>
      <c r="R85" s="20" t="inlineStr">
        <is>
          <t>未开始</t>
        </is>
      </c>
      <c r="S85">
        <f>IF(B85="","",IF(E85="已暴露","DEV_REG_ONLY","ANY"))</f>
        <v/>
      </c>
    </row>
    <row r="86">
      <c r="A86" s="20" t="n">
        <v>83</v>
      </c>
      <c r="B86" s="20" t="str"/>
      <c r="C86" s="20" t="str"/>
      <c r="D86" s="20" t="str"/>
      <c r="E86" s="20" t="str"/>
      <c r="F86" s="20" t="inlineStr">
        <is>
          <t>PENDING</t>
        </is>
      </c>
      <c r="G86" s="20" t="inlineStr">
        <is>
          <t>PENDING</t>
        </is>
      </c>
      <c r="H86" s="20" t="inlineStr">
        <is>
          <t>PENDING</t>
        </is>
      </c>
      <c r="I86" s="20" t="inlineStr">
        <is>
          <t>PENDING</t>
        </is>
      </c>
      <c r="J86" s="20" t="inlineStr">
        <is>
          <t>PENDING</t>
        </is>
      </c>
      <c r="K86" s="20" t="inlineStr">
        <is>
          <t>待确认</t>
        </is>
      </c>
      <c r="L86" s="20">
        <f>IF(B86="","",IF(OR(F86="FAIL",K86="泄漏"),"DROP",IF(G86="FAIL","RELABEL",IF(OR(H86="FAIL",I86="FAIL",J86="FAIL"),"REWORK",IF(COUNTIF(F86:J86,"PENDING")&gt;0,"PENDING","REUSE")))))</f>
        <v/>
      </c>
      <c r="M86" s="20" t="inlineStr">
        <is>
          <t>PENDING</t>
        </is>
      </c>
      <c r="N86" s="20" t="str"/>
      <c r="O86" s="20" t="str"/>
      <c r="P86" s="20" t="str"/>
      <c r="Q86" s="20" t="inlineStr">
        <is>
          <t>待确认</t>
        </is>
      </c>
      <c r="R86" s="20" t="inlineStr">
        <is>
          <t>未开始</t>
        </is>
      </c>
      <c r="S86">
        <f>IF(B86="","",IF(E86="已暴露","DEV_REG_ONLY","ANY"))</f>
        <v/>
      </c>
    </row>
    <row r="87">
      <c r="A87" s="20" t="n">
        <v>84</v>
      </c>
      <c r="B87" s="20" t="str"/>
      <c r="C87" s="20" t="str"/>
      <c r="D87" s="20" t="str"/>
      <c r="E87" s="20" t="str"/>
      <c r="F87" s="20" t="inlineStr">
        <is>
          <t>PENDING</t>
        </is>
      </c>
      <c r="G87" s="20" t="inlineStr">
        <is>
          <t>PENDING</t>
        </is>
      </c>
      <c r="H87" s="20" t="inlineStr">
        <is>
          <t>PENDING</t>
        </is>
      </c>
      <c r="I87" s="20" t="inlineStr">
        <is>
          <t>PENDING</t>
        </is>
      </c>
      <c r="J87" s="20" t="inlineStr">
        <is>
          <t>PENDING</t>
        </is>
      </c>
      <c r="K87" s="20" t="inlineStr">
        <is>
          <t>待确认</t>
        </is>
      </c>
      <c r="L87" s="20">
        <f>IF(B87="","",IF(OR(F87="FAIL",K87="泄漏"),"DROP",IF(G87="FAIL","RELABEL",IF(OR(H87="FAIL",I87="FAIL",J87="FAIL"),"REWORK",IF(COUNTIF(F87:J87,"PENDING")&gt;0,"PENDING","REUSE")))))</f>
        <v/>
      </c>
      <c r="M87" s="20" t="inlineStr">
        <is>
          <t>PENDING</t>
        </is>
      </c>
      <c r="N87" s="20" t="str"/>
      <c r="O87" s="20" t="str"/>
      <c r="P87" s="20" t="str"/>
      <c r="Q87" s="20" t="inlineStr">
        <is>
          <t>待确认</t>
        </is>
      </c>
      <c r="R87" s="20" t="inlineStr">
        <is>
          <t>未开始</t>
        </is>
      </c>
      <c r="S87">
        <f>IF(B87="","",IF(E87="已暴露","DEV_REG_ONLY","ANY"))</f>
        <v/>
      </c>
    </row>
    <row r="88">
      <c r="A88" s="20" t="n">
        <v>85</v>
      </c>
      <c r="B88" s="20" t="str"/>
      <c r="C88" s="20" t="str"/>
      <c r="D88" s="20" t="str"/>
      <c r="E88" s="20" t="str"/>
      <c r="F88" s="20" t="inlineStr">
        <is>
          <t>PENDING</t>
        </is>
      </c>
      <c r="G88" s="20" t="inlineStr">
        <is>
          <t>PENDING</t>
        </is>
      </c>
      <c r="H88" s="20" t="inlineStr">
        <is>
          <t>PENDING</t>
        </is>
      </c>
      <c r="I88" s="20" t="inlineStr">
        <is>
          <t>PENDING</t>
        </is>
      </c>
      <c r="J88" s="20" t="inlineStr">
        <is>
          <t>PENDING</t>
        </is>
      </c>
      <c r="K88" s="20" t="inlineStr">
        <is>
          <t>待确认</t>
        </is>
      </c>
      <c r="L88" s="20">
        <f>IF(B88="","",IF(OR(F88="FAIL",K88="泄漏"),"DROP",IF(G88="FAIL","RELABEL",IF(OR(H88="FAIL",I88="FAIL",J88="FAIL"),"REWORK",IF(COUNTIF(F88:J88,"PENDING")&gt;0,"PENDING","REUSE")))))</f>
        <v/>
      </c>
      <c r="M88" s="20" t="inlineStr">
        <is>
          <t>PENDING</t>
        </is>
      </c>
      <c r="N88" s="20" t="str"/>
      <c r="O88" s="20" t="str"/>
      <c r="P88" s="20" t="str"/>
      <c r="Q88" s="20" t="inlineStr">
        <is>
          <t>待确认</t>
        </is>
      </c>
      <c r="R88" s="20" t="inlineStr">
        <is>
          <t>未开始</t>
        </is>
      </c>
      <c r="S88">
        <f>IF(B88="","",IF(E88="已暴露","DEV_REG_ONLY","ANY"))</f>
        <v/>
      </c>
    </row>
    <row r="89">
      <c r="A89" s="20" t="n">
        <v>86</v>
      </c>
      <c r="B89" s="20" t="str"/>
      <c r="C89" s="20" t="str"/>
      <c r="D89" s="20" t="str"/>
      <c r="E89" s="20" t="str"/>
      <c r="F89" s="20" t="inlineStr">
        <is>
          <t>PENDING</t>
        </is>
      </c>
      <c r="G89" s="20" t="inlineStr">
        <is>
          <t>PENDING</t>
        </is>
      </c>
      <c r="H89" s="20" t="inlineStr">
        <is>
          <t>PENDING</t>
        </is>
      </c>
      <c r="I89" s="20" t="inlineStr">
        <is>
          <t>PENDING</t>
        </is>
      </c>
      <c r="J89" s="20" t="inlineStr">
        <is>
          <t>PENDING</t>
        </is>
      </c>
      <c r="K89" s="20" t="inlineStr">
        <is>
          <t>待确认</t>
        </is>
      </c>
      <c r="L89" s="20">
        <f>IF(B89="","",IF(OR(F89="FAIL",K89="泄漏"),"DROP",IF(G89="FAIL","RELABEL",IF(OR(H89="FAIL",I89="FAIL",J89="FAIL"),"REWORK",IF(COUNTIF(F89:J89,"PENDING")&gt;0,"PENDING","REUSE")))))</f>
        <v/>
      </c>
      <c r="M89" s="20" t="inlineStr">
        <is>
          <t>PENDING</t>
        </is>
      </c>
      <c r="N89" s="20" t="str"/>
      <c r="O89" s="20" t="str"/>
      <c r="P89" s="20" t="str"/>
      <c r="Q89" s="20" t="inlineStr">
        <is>
          <t>待确认</t>
        </is>
      </c>
      <c r="R89" s="20" t="inlineStr">
        <is>
          <t>未开始</t>
        </is>
      </c>
      <c r="S89">
        <f>IF(B89="","",IF(E89="已暴露","DEV_REG_ONLY","ANY"))</f>
        <v/>
      </c>
    </row>
    <row r="90">
      <c r="A90" s="20" t="n">
        <v>87</v>
      </c>
      <c r="B90" s="20" t="str"/>
      <c r="C90" s="20" t="str"/>
      <c r="D90" s="20" t="str"/>
      <c r="E90" s="20" t="str"/>
      <c r="F90" s="20" t="inlineStr">
        <is>
          <t>PENDING</t>
        </is>
      </c>
      <c r="G90" s="20" t="inlineStr">
        <is>
          <t>PENDING</t>
        </is>
      </c>
      <c r="H90" s="20" t="inlineStr">
        <is>
          <t>PENDING</t>
        </is>
      </c>
      <c r="I90" s="20" t="inlineStr">
        <is>
          <t>PENDING</t>
        </is>
      </c>
      <c r="J90" s="20" t="inlineStr">
        <is>
          <t>PENDING</t>
        </is>
      </c>
      <c r="K90" s="20" t="inlineStr">
        <is>
          <t>待确认</t>
        </is>
      </c>
      <c r="L90" s="20">
        <f>IF(B90="","",IF(OR(F90="FAIL",K90="泄漏"),"DROP",IF(G90="FAIL","RELABEL",IF(OR(H90="FAIL",I90="FAIL",J90="FAIL"),"REWORK",IF(COUNTIF(F90:J90,"PENDING")&gt;0,"PENDING","REUSE")))))</f>
        <v/>
      </c>
      <c r="M90" s="20" t="inlineStr">
        <is>
          <t>PENDING</t>
        </is>
      </c>
      <c r="N90" s="20" t="str"/>
      <c r="O90" s="20" t="str"/>
      <c r="P90" s="20" t="str"/>
      <c r="Q90" s="20" t="inlineStr">
        <is>
          <t>待确认</t>
        </is>
      </c>
      <c r="R90" s="20" t="inlineStr">
        <is>
          <t>未开始</t>
        </is>
      </c>
      <c r="S90">
        <f>IF(B90="","",IF(E90="已暴露","DEV_REG_ONLY","ANY"))</f>
        <v/>
      </c>
    </row>
    <row r="91">
      <c r="A91" s="20" t="n">
        <v>88</v>
      </c>
      <c r="B91" s="20" t="str"/>
      <c r="C91" s="20" t="str"/>
      <c r="D91" s="20" t="str"/>
      <c r="E91" s="20" t="str"/>
      <c r="F91" s="20" t="inlineStr">
        <is>
          <t>PENDING</t>
        </is>
      </c>
      <c r="G91" s="20" t="inlineStr">
        <is>
          <t>PENDING</t>
        </is>
      </c>
      <c r="H91" s="20" t="inlineStr">
        <is>
          <t>PENDING</t>
        </is>
      </c>
      <c r="I91" s="20" t="inlineStr">
        <is>
          <t>PENDING</t>
        </is>
      </c>
      <c r="J91" s="20" t="inlineStr">
        <is>
          <t>PENDING</t>
        </is>
      </c>
      <c r="K91" s="20" t="inlineStr">
        <is>
          <t>待确认</t>
        </is>
      </c>
      <c r="L91" s="20">
        <f>IF(B91="","",IF(OR(F91="FAIL",K91="泄漏"),"DROP",IF(G91="FAIL","RELABEL",IF(OR(H91="FAIL",I91="FAIL",J91="FAIL"),"REWORK",IF(COUNTIF(F91:J91,"PENDING")&gt;0,"PENDING","REUSE")))))</f>
        <v/>
      </c>
      <c r="M91" s="20" t="inlineStr">
        <is>
          <t>PENDING</t>
        </is>
      </c>
      <c r="N91" s="20" t="str"/>
      <c r="O91" s="20" t="str"/>
      <c r="P91" s="20" t="str"/>
      <c r="Q91" s="20" t="inlineStr">
        <is>
          <t>待确认</t>
        </is>
      </c>
      <c r="R91" s="20" t="inlineStr">
        <is>
          <t>未开始</t>
        </is>
      </c>
      <c r="S91">
        <f>IF(B91="","",IF(E91="已暴露","DEV_REG_ONLY","ANY"))</f>
        <v/>
      </c>
    </row>
    <row r="92">
      <c r="A92" s="20" t="n">
        <v>89</v>
      </c>
      <c r="B92" s="20" t="str"/>
      <c r="C92" s="20" t="str"/>
      <c r="D92" s="20" t="str"/>
      <c r="E92" s="20" t="str"/>
      <c r="F92" s="20" t="inlineStr">
        <is>
          <t>PENDING</t>
        </is>
      </c>
      <c r="G92" s="20" t="inlineStr">
        <is>
          <t>PENDING</t>
        </is>
      </c>
      <c r="H92" s="20" t="inlineStr">
        <is>
          <t>PENDING</t>
        </is>
      </c>
      <c r="I92" s="20" t="inlineStr">
        <is>
          <t>PENDING</t>
        </is>
      </c>
      <c r="J92" s="20" t="inlineStr">
        <is>
          <t>PENDING</t>
        </is>
      </c>
      <c r="K92" s="20" t="inlineStr">
        <is>
          <t>待确认</t>
        </is>
      </c>
      <c r="L92" s="20">
        <f>IF(B92="","",IF(OR(F92="FAIL",K92="泄漏"),"DROP",IF(G92="FAIL","RELABEL",IF(OR(H92="FAIL",I92="FAIL",J92="FAIL"),"REWORK",IF(COUNTIF(F92:J92,"PENDING")&gt;0,"PENDING","REUSE")))))</f>
        <v/>
      </c>
      <c r="M92" s="20" t="inlineStr">
        <is>
          <t>PENDING</t>
        </is>
      </c>
      <c r="N92" s="20" t="str"/>
      <c r="O92" s="20" t="str"/>
      <c r="P92" s="20" t="str"/>
      <c r="Q92" s="20" t="inlineStr">
        <is>
          <t>待确认</t>
        </is>
      </c>
      <c r="R92" s="20" t="inlineStr">
        <is>
          <t>未开始</t>
        </is>
      </c>
      <c r="S92">
        <f>IF(B92="","",IF(E92="已暴露","DEV_REG_ONLY","ANY"))</f>
        <v/>
      </c>
    </row>
    <row r="93">
      <c r="A93" s="20" t="n">
        <v>90</v>
      </c>
      <c r="B93" s="20" t="str"/>
      <c r="C93" s="20" t="str"/>
      <c r="D93" s="20" t="str"/>
      <c r="E93" s="20" t="str"/>
      <c r="F93" s="20" t="inlineStr">
        <is>
          <t>PENDING</t>
        </is>
      </c>
      <c r="G93" s="20" t="inlineStr">
        <is>
          <t>PENDING</t>
        </is>
      </c>
      <c r="H93" s="20" t="inlineStr">
        <is>
          <t>PENDING</t>
        </is>
      </c>
      <c r="I93" s="20" t="inlineStr">
        <is>
          <t>PENDING</t>
        </is>
      </c>
      <c r="J93" s="20" t="inlineStr">
        <is>
          <t>PENDING</t>
        </is>
      </c>
      <c r="K93" s="20" t="inlineStr">
        <is>
          <t>待确认</t>
        </is>
      </c>
      <c r="L93" s="20">
        <f>IF(B93="","",IF(OR(F93="FAIL",K93="泄漏"),"DROP",IF(G93="FAIL","RELABEL",IF(OR(H93="FAIL",I93="FAIL",J93="FAIL"),"REWORK",IF(COUNTIF(F93:J93,"PENDING")&gt;0,"PENDING","REUSE")))))</f>
        <v/>
      </c>
      <c r="M93" s="20" t="inlineStr">
        <is>
          <t>PENDING</t>
        </is>
      </c>
      <c r="N93" s="20" t="str"/>
      <c r="O93" s="20" t="str"/>
      <c r="P93" s="20" t="str"/>
      <c r="Q93" s="20" t="inlineStr">
        <is>
          <t>待确认</t>
        </is>
      </c>
      <c r="R93" s="20" t="inlineStr">
        <is>
          <t>未开始</t>
        </is>
      </c>
      <c r="S93">
        <f>IF(B93="","",IF(E93="已暴露","DEV_REG_ONLY","ANY"))</f>
        <v/>
      </c>
    </row>
    <row r="94">
      <c r="A94" s="20" t="n">
        <v>91</v>
      </c>
      <c r="B94" s="20" t="str"/>
      <c r="C94" s="20" t="str"/>
      <c r="D94" s="20" t="str"/>
      <c r="E94" s="20" t="str"/>
      <c r="F94" s="20" t="inlineStr">
        <is>
          <t>PENDING</t>
        </is>
      </c>
      <c r="G94" s="20" t="inlineStr">
        <is>
          <t>PENDING</t>
        </is>
      </c>
      <c r="H94" s="20" t="inlineStr">
        <is>
          <t>PENDING</t>
        </is>
      </c>
      <c r="I94" s="20" t="inlineStr">
        <is>
          <t>PENDING</t>
        </is>
      </c>
      <c r="J94" s="20" t="inlineStr">
        <is>
          <t>PENDING</t>
        </is>
      </c>
      <c r="K94" s="20" t="inlineStr">
        <is>
          <t>待确认</t>
        </is>
      </c>
      <c r="L94" s="20">
        <f>IF(B94="","",IF(OR(F94="FAIL",K94="泄漏"),"DROP",IF(G94="FAIL","RELABEL",IF(OR(H94="FAIL",I94="FAIL",J94="FAIL"),"REWORK",IF(COUNTIF(F94:J94,"PENDING")&gt;0,"PENDING","REUSE")))))</f>
        <v/>
      </c>
      <c r="M94" s="20" t="inlineStr">
        <is>
          <t>PENDING</t>
        </is>
      </c>
      <c r="N94" s="20" t="str"/>
      <c r="O94" s="20" t="str"/>
      <c r="P94" s="20" t="str"/>
      <c r="Q94" s="20" t="inlineStr">
        <is>
          <t>待确认</t>
        </is>
      </c>
      <c r="R94" s="20" t="inlineStr">
        <is>
          <t>未开始</t>
        </is>
      </c>
      <c r="S94">
        <f>IF(B94="","",IF(E94="已暴露","DEV_REG_ONLY","ANY"))</f>
        <v/>
      </c>
    </row>
    <row r="95">
      <c r="A95" s="20" t="n">
        <v>92</v>
      </c>
      <c r="B95" s="20" t="str"/>
      <c r="C95" s="20" t="str"/>
      <c r="D95" s="20" t="str"/>
      <c r="E95" s="20" t="str"/>
      <c r="F95" s="20" t="inlineStr">
        <is>
          <t>PENDING</t>
        </is>
      </c>
      <c r="G95" s="20" t="inlineStr">
        <is>
          <t>PENDING</t>
        </is>
      </c>
      <c r="H95" s="20" t="inlineStr">
        <is>
          <t>PENDING</t>
        </is>
      </c>
      <c r="I95" s="20" t="inlineStr">
        <is>
          <t>PENDING</t>
        </is>
      </c>
      <c r="J95" s="20" t="inlineStr">
        <is>
          <t>PENDING</t>
        </is>
      </c>
      <c r="K95" s="20" t="inlineStr">
        <is>
          <t>待确认</t>
        </is>
      </c>
      <c r="L95" s="20">
        <f>IF(B95="","",IF(OR(F95="FAIL",K95="泄漏"),"DROP",IF(G95="FAIL","RELABEL",IF(OR(H95="FAIL",I95="FAIL",J95="FAIL"),"REWORK",IF(COUNTIF(F95:J95,"PENDING")&gt;0,"PENDING","REUSE")))))</f>
        <v/>
      </c>
      <c r="M95" s="20" t="inlineStr">
        <is>
          <t>PENDING</t>
        </is>
      </c>
      <c r="N95" s="20" t="str"/>
      <c r="O95" s="20" t="str"/>
      <c r="P95" s="20" t="str"/>
      <c r="Q95" s="20" t="inlineStr">
        <is>
          <t>待确认</t>
        </is>
      </c>
      <c r="R95" s="20" t="inlineStr">
        <is>
          <t>未开始</t>
        </is>
      </c>
      <c r="S95">
        <f>IF(B95="","",IF(E95="已暴露","DEV_REG_ONLY","ANY"))</f>
        <v/>
      </c>
    </row>
    <row r="96">
      <c r="A96" s="20" t="n">
        <v>93</v>
      </c>
      <c r="B96" s="20" t="str"/>
      <c r="C96" s="20" t="str"/>
      <c r="D96" s="20" t="str"/>
      <c r="E96" s="20" t="str"/>
      <c r="F96" s="20" t="inlineStr">
        <is>
          <t>PENDING</t>
        </is>
      </c>
      <c r="G96" s="20" t="inlineStr">
        <is>
          <t>PENDING</t>
        </is>
      </c>
      <c r="H96" s="20" t="inlineStr">
        <is>
          <t>PENDING</t>
        </is>
      </c>
      <c r="I96" s="20" t="inlineStr">
        <is>
          <t>PENDING</t>
        </is>
      </c>
      <c r="J96" s="20" t="inlineStr">
        <is>
          <t>PENDING</t>
        </is>
      </c>
      <c r="K96" s="20" t="inlineStr">
        <is>
          <t>待确认</t>
        </is>
      </c>
      <c r="L96" s="20">
        <f>IF(B96="","",IF(OR(F96="FAIL",K96="泄漏"),"DROP",IF(G96="FAIL","RELABEL",IF(OR(H96="FAIL",I96="FAIL",J96="FAIL"),"REWORK",IF(COUNTIF(F96:J96,"PENDING")&gt;0,"PENDING","REUSE")))))</f>
        <v/>
      </c>
      <c r="M96" s="20" t="inlineStr">
        <is>
          <t>PENDING</t>
        </is>
      </c>
      <c r="N96" s="20" t="str"/>
      <c r="O96" s="20" t="str"/>
      <c r="P96" s="20" t="str"/>
      <c r="Q96" s="20" t="inlineStr">
        <is>
          <t>待确认</t>
        </is>
      </c>
      <c r="R96" s="20" t="inlineStr">
        <is>
          <t>未开始</t>
        </is>
      </c>
      <c r="S96">
        <f>IF(B96="","",IF(E96="已暴露","DEV_REG_ONLY","ANY"))</f>
        <v/>
      </c>
    </row>
    <row r="97">
      <c r="A97" s="20" t="n">
        <v>94</v>
      </c>
      <c r="B97" s="20" t="str"/>
      <c r="C97" s="20" t="str"/>
      <c r="D97" s="20" t="str"/>
      <c r="E97" s="20" t="str"/>
      <c r="F97" s="20" t="inlineStr">
        <is>
          <t>PENDING</t>
        </is>
      </c>
      <c r="G97" s="20" t="inlineStr">
        <is>
          <t>PENDING</t>
        </is>
      </c>
      <c r="H97" s="20" t="inlineStr">
        <is>
          <t>PENDING</t>
        </is>
      </c>
      <c r="I97" s="20" t="inlineStr">
        <is>
          <t>PENDING</t>
        </is>
      </c>
      <c r="J97" s="20" t="inlineStr">
        <is>
          <t>PENDING</t>
        </is>
      </c>
      <c r="K97" s="20" t="inlineStr">
        <is>
          <t>待确认</t>
        </is>
      </c>
      <c r="L97" s="20">
        <f>IF(B97="","",IF(OR(F97="FAIL",K97="泄漏"),"DROP",IF(G97="FAIL","RELABEL",IF(OR(H97="FAIL",I97="FAIL",J97="FAIL"),"REWORK",IF(COUNTIF(F97:J97,"PENDING")&gt;0,"PENDING","REUSE")))))</f>
        <v/>
      </c>
      <c r="M97" s="20" t="inlineStr">
        <is>
          <t>PENDING</t>
        </is>
      </c>
      <c r="N97" s="20" t="str"/>
      <c r="O97" s="20" t="str"/>
      <c r="P97" s="20" t="str"/>
      <c r="Q97" s="20" t="inlineStr">
        <is>
          <t>待确认</t>
        </is>
      </c>
      <c r="R97" s="20" t="inlineStr">
        <is>
          <t>未开始</t>
        </is>
      </c>
      <c r="S97">
        <f>IF(B97="","",IF(E97="已暴露","DEV_REG_ONLY","ANY"))</f>
        <v/>
      </c>
    </row>
    <row r="98">
      <c r="A98" s="20" t="n">
        <v>95</v>
      </c>
      <c r="B98" s="20" t="str"/>
      <c r="C98" s="20" t="str"/>
      <c r="D98" s="20" t="str"/>
      <c r="E98" s="20" t="str"/>
      <c r="F98" s="20" t="inlineStr">
        <is>
          <t>PENDING</t>
        </is>
      </c>
      <c r="G98" s="20" t="inlineStr">
        <is>
          <t>PENDING</t>
        </is>
      </c>
      <c r="H98" s="20" t="inlineStr">
        <is>
          <t>PENDING</t>
        </is>
      </c>
      <c r="I98" s="20" t="inlineStr">
        <is>
          <t>PENDING</t>
        </is>
      </c>
      <c r="J98" s="20" t="inlineStr">
        <is>
          <t>PENDING</t>
        </is>
      </c>
      <c r="K98" s="20" t="inlineStr">
        <is>
          <t>待确认</t>
        </is>
      </c>
      <c r="L98" s="20">
        <f>IF(B98="","",IF(OR(F98="FAIL",K98="泄漏"),"DROP",IF(G98="FAIL","RELABEL",IF(OR(H98="FAIL",I98="FAIL",J98="FAIL"),"REWORK",IF(COUNTIF(F98:J98,"PENDING")&gt;0,"PENDING","REUSE")))))</f>
        <v/>
      </c>
      <c r="M98" s="20" t="inlineStr">
        <is>
          <t>PENDING</t>
        </is>
      </c>
      <c r="N98" s="20" t="str"/>
      <c r="O98" s="20" t="str"/>
      <c r="P98" s="20" t="str"/>
      <c r="Q98" s="20" t="inlineStr">
        <is>
          <t>待确认</t>
        </is>
      </c>
      <c r="R98" s="20" t="inlineStr">
        <is>
          <t>未开始</t>
        </is>
      </c>
      <c r="S98">
        <f>IF(B98="","",IF(E98="已暴露","DEV_REG_ONLY","ANY"))</f>
        <v/>
      </c>
    </row>
    <row r="99">
      <c r="A99" s="20" t="n">
        <v>96</v>
      </c>
      <c r="B99" s="20" t="str"/>
      <c r="C99" s="20" t="str"/>
      <c r="D99" s="20" t="str"/>
      <c r="E99" s="20" t="str"/>
      <c r="F99" s="20" t="inlineStr">
        <is>
          <t>PENDING</t>
        </is>
      </c>
      <c r="G99" s="20" t="inlineStr">
        <is>
          <t>PENDING</t>
        </is>
      </c>
      <c r="H99" s="20" t="inlineStr">
        <is>
          <t>PENDING</t>
        </is>
      </c>
      <c r="I99" s="20" t="inlineStr">
        <is>
          <t>PENDING</t>
        </is>
      </c>
      <c r="J99" s="20" t="inlineStr">
        <is>
          <t>PENDING</t>
        </is>
      </c>
      <c r="K99" s="20" t="inlineStr">
        <is>
          <t>待确认</t>
        </is>
      </c>
      <c r="L99" s="20">
        <f>IF(B99="","",IF(OR(F99="FAIL",K99="泄漏"),"DROP",IF(G99="FAIL","RELABEL",IF(OR(H99="FAIL",I99="FAIL",J99="FAIL"),"REWORK",IF(COUNTIF(F99:J99,"PENDING")&gt;0,"PENDING","REUSE")))))</f>
        <v/>
      </c>
      <c r="M99" s="20" t="inlineStr">
        <is>
          <t>PENDING</t>
        </is>
      </c>
      <c r="N99" s="20" t="str"/>
      <c r="O99" s="20" t="str"/>
      <c r="P99" s="20" t="str"/>
      <c r="Q99" s="20" t="inlineStr">
        <is>
          <t>待确认</t>
        </is>
      </c>
      <c r="R99" s="20" t="inlineStr">
        <is>
          <t>未开始</t>
        </is>
      </c>
      <c r="S99">
        <f>IF(B99="","",IF(E99="已暴露","DEV_REG_ONLY","ANY"))</f>
        <v/>
      </c>
    </row>
    <row r="100">
      <c r="A100" s="20" t="n">
        <v>97</v>
      </c>
      <c r="B100" s="20" t="str"/>
      <c r="C100" s="20" t="str"/>
      <c r="D100" s="20" t="str"/>
      <c r="E100" s="20" t="str"/>
      <c r="F100" s="20" t="inlineStr">
        <is>
          <t>PENDING</t>
        </is>
      </c>
      <c r="G100" s="20" t="inlineStr">
        <is>
          <t>PENDING</t>
        </is>
      </c>
      <c r="H100" s="20" t="inlineStr">
        <is>
          <t>PENDING</t>
        </is>
      </c>
      <c r="I100" s="20" t="inlineStr">
        <is>
          <t>PENDING</t>
        </is>
      </c>
      <c r="J100" s="20" t="inlineStr">
        <is>
          <t>PENDING</t>
        </is>
      </c>
      <c r="K100" s="20" t="inlineStr">
        <is>
          <t>待确认</t>
        </is>
      </c>
      <c r="L100" s="20">
        <f>IF(B100="","",IF(OR(F100="FAIL",K100="泄漏"),"DROP",IF(G100="FAIL","RELABEL",IF(OR(H100="FAIL",I100="FAIL",J100="FAIL"),"REWORK",IF(COUNTIF(F100:J100,"PENDING")&gt;0,"PENDING","REUSE")))))</f>
        <v/>
      </c>
      <c r="M100" s="20" t="inlineStr">
        <is>
          <t>PENDING</t>
        </is>
      </c>
      <c r="N100" s="20" t="str"/>
      <c r="O100" s="20" t="str"/>
      <c r="P100" s="20" t="str"/>
      <c r="Q100" s="20" t="inlineStr">
        <is>
          <t>待确认</t>
        </is>
      </c>
      <c r="R100" s="20" t="inlineStr">
        <is>
          <t>未开始</t>
        </is>
      </c>
      <c r="S100">
        <f>IF(B100="","",IF(E100="已暴露","DEV_REG_ONLY","ANY"))</f>
        <v/>
      </c>
    </row>
    <row r="101">
      <c r="A101" s="20" t="n">
        <v>98</v>
      </c>
      <c r="B101" s="20" t="str"/>
      <c r="C101" s="20" t="str"/>
      <c r="D101" s="20" t="str"/>
      <c r="E101" s="20" t="str"/>
      <c r="F101" s="20" t="inlineStr">
        <is>
          <t>PENDING</t>
        </is>
      </c>
      <c r="G101" s="20" t="inlineStr">
        <is>
          <t>PENDING</t>
        </is>
      </c>
      <c r="H101" s="20" t="inlineStr">
        <is>
          <t>PENDING</t>
        </is>
      </c>
      <c r="I101" s="20" t="inlineStr">
        <is>
          <t>PENDING</t>
        </is>
      </c>
      <c r="J101" s="20" t="inlineStr">
        <is>
          <t>PENDING</t>
        </is>
      </c>
      <c r="K101" s="20" t="inlineStr">
        <is>
          <t>待确认</t>
        </is>
      </c>
      <c r="L101" s="20">
        <f>IF(B101="","",IF(OR(F101="FAIL",K101="泄漏"),"DROP",IF(G101="FAIL","RELABEL",IF(OR(H101="FAIL",I101="FAIL",J101="FAIL"),"REWORK",IF(COUNTIF(F101:J101,"PENDING")&gt;0,"PENDING","REUSE")))))</f>
        <v/>
      </c>
      <c r="M101" s="20" t="inlineStr">
        <is>
          <t>PENDING</t>
        </is>
      </c>
      <c r="N101" s="20" t="str"/>
      <c r="O101" s="20" t="str"/>
      <c r="P101" s="20" t="str"/>
      <c r="Q101" s="20" t="inlineStr">
        <is>
          <t>待确认</t>
        </is>
      </c>
      <c r="R101" s="20" t="inlineStr">
        <is>
          <t>未开始</t>
        </is>
      </c>
      <c r="S101">
        <f>IF(B101="","",IF(E101="已暴露","DEV_REG_ONLY","ANY"))</f>
        <v/>
      </c>
    </row>
    <row r="102">
      <c r="A102" s="20" t="n">
        <v>99</v>
      </c>
      <c r="B102" s="20" t="str"/>
      <c r="C102" s="20" t="str"/>
      <c r="D102" s="20" t="str"/>
      <c r="E102" s="20" t="str"/>
      <c r="F102" s="20" t="inlineStr">
        <is>
          <t>PENDING</t>
        </is>
      </c>
      <c r="G102" s="20" t="inlineStr">
        <is>
          <t>PENDING</t>
        </is>
      </c>
      <c r="H102" s="20" t="inlineStr">
        <is>
          <t>PENDING</t>
        </is>
      </c>
      <c r="I102" s="20" t="inlineStr">
        <is>
          <t>PENDING</t>
        </is>
      </c>
      <c r="J102" s="20" t="inlineStr">
        <is>
          <t>PENDING</t>
        </is>
      </c>
      <c r="K102" s="20" t="inlineStr">
        <is>
          <t>待确认</t>
        </is>
      </c>
      <c r="L102" s="20">
        <f>IF(B102="","",IF(OR(F102="FAIL",K102="泄漏"),"DROP",IF(G102="FAIL","RELABEL",IF(OR(H102="FAIL",I102="FAIL",J102="FAIL"),"REWORK",IF(COUNTIF(F102:J102,"PENDING")&gt;0,"PENDING","REUSE")))))</f>
        <v/>
      </c>
      <c r="M102" s="20" t="inlineStr">
        <is>
          <t>PENDING</t>
        </is>
      </c>
      <c r="N102" s="20" t="str"/>
      <c r="O102" s="20" t="str"/>
      <c r="P102" s="20" t="str"/>
      <c r="Q102" s="20" t="inlineStr">
        <is>
          <t>待确认</t>
        </is>
      </c>
      <c r="R102" s="20" t="inlineStr">
        <is>
          <t>未开始</t>
        </is>
      </c>
      <c r="S102">
        <f>IF(B102="","",IF(E102="已暴露","DEV_REG_ONLY","ANY"))</f>
        <v/>
      </c>
    </row>
    <row r="103">
      <c r="A103" s="20" t="n">
        <v>100</v>
      </c>
      <c r="B103" s="20" t="str"/>
      <c r="C103" s="20" t="str"/>
      <c r="D103" s="20" t="str"/>
      <c r="E103" s="20" t="str"/>
      <c r="F103" s="20" t="inlineStr">
        <is>
          <t>PENDING</t>
        </is>
      </c>
      <c r="G103" s="20" t="inlineStr">
        <is>
          <t>PENDING</t>
        </is>
      </c>
      <c r="H103" s="20" t="inlineStr">
        <is>
          <t>PENDING</t>
        </is>
      </c>
      <c r="I103" s="20" t="inlineStr">
        <is>
          <t>PENDING</t>
        </is>
      </c>
      <c r="J103" s="20" t="inlineStr">
        <is>
          <t>PENDING</t>
        </is>
      </c>
      <c r="K103" s="20" t="inlineStr">
        <is>
          <t>待确认</t>
        </is>
      </c>
      <c r="L103" s="20">
        <f>IF(B103="","",IF(OR(F103="FAIL",K103="泄漏"),"DROP",IF(G103="FAIL","RELABEL",IF(OR(H103="FAIL",I103="FAIL",J103="FAIL"),"REWORK",IF(COUNTIF(F103:J103,"PENDING")&gt;0,"PENDING","REUSE")))))</f>
        <v/>
      </c>
      <c r="M103" s="20" t="inlineStr">
        <is>
          <t>PENDING</t>
        </is>
      </c>
      <c r="N103" s="20" t="str"/>
      <c r="O103" s="20" t="str"/>
      <c r="P103" s="20" t="str"/>
      <c r="Q103" s="20" t="inlineStr">
        <is>
          <t>待确认</t>
        </is>
      </c>
      <c r="R103" s="20" t="inlineStr">
        <is>
          <t>未开始</t>
        </is>
      </c>
      <c r="S103">
        <f>IF(B103="","",IF(E103="已暴露","DEV_REG_ONLY","ANY"))</f>
        <v/>
      </c>
    </row>
    <row r="104">
      <c r="A104" s="20" t="n">
        <v>101</v>
      </c>
      <c r="B104" s="20" t="str"/>
      <c r="C104" s="20" t="str"/>
      <c r="D104" s="20" t="str"/>
      <c r="E104" s="20" t="str"/>
      <c r="F104" s="20" t="inlineStr">
        <is>
          <t>PENDING</t>
        </is>
      </c>
      <c r="G104" s="20" t="inlineStr">
        <is>
          <t>PENDING</t>
        </is>
      </c>
      <c r="H104" s="20" t="inlineStr">
        <is>
          <t>PENDING</t>
        </is>
      </c>
      <c r="I104" s="20" t="inlineStr">
        <is>
          <t>PENDING</t>
        </is>
      </c>
      <c r="J104" s="20" t="inlineStr">
        <is>
          <t>PENDING</t>
        </is>
      </c>
      <c r="K104" s="20" t="inlineStr">
        <is>
          <t>待确认</t>
        </is>
      </c>
      <c r="L104" s="20">
        <f>IF(B104="","",IF(OR(F104="FAIL",K104="泄漏"),"DROP",IF(G104="FAIL","RELABEL",IF(OR(H104="FAIL",I104="FAIL",J104="FAIL"),"REWORK",IF(COUNTIF(F104:J104,"PENDING")&gt;0,"PENDING","REUSE")))))</f>
        <v/>
      </c>
      <c r="M104" s="20" t="inlineStr">
        <is>
          <t>PENDING</t>
        </is>
      </c>
      <c r="N104" s="20" t="str"/>
      <c r="O104" s="20" t="str"/>
      <c r="P104" s="20" t="str"/>
      <c r="Q104" s="20" t="inlineStr">
        <is>
          <t>待确认</t>
        </is>
      </c>
      <c r="R104" s="20" t="inlineStr">
        <is>
          <t>未开始</t>
        </is>
      </c>
      <c r="S104">
        <f>IF(B104="","",IF(E104="已暴露","DEV_REG_ONLY","ANY"))</f>
        <v/>
      </c>
    </row>
    <row r="105">
      <c r="A105" s="20" t="n">
        <v>102</v>
      </c>
      <c r="B105" s="20" t="str"/>
      <c r="C105" s="20" t="str"/>
      <c r="D105" s="20" t="str"/>
      <c r="E105" s="20" t="str"/>
      <c r="F105" s="20" t="inlineStr">
        <is>
          <t>PENDING</t>
        </is>
      </c>
      <c r="G105" s="20" t="inlineStr">
        <is>
          <t>PENDING</t>
        </is>
      </c>
      <c r="H105" s="20" t="inlineStr">
        <is>
          <t>PENDING</t>
        </is>
      </c>
      <c r="I105" s="20" t="inlineStr">
        <is>
          <t>PENDING</t>
        </is>
      </c>
      <c r="J105" s="20" t="inlineStr">
        <is>
          <t>PENDING</t>
        </is>
      </c>
      <c r="K105" s="20" t="inlineStr">
        <is>
          <t>待确认</t>
        </is>
      </c>
      <c r="L105" s="20">
        <f>IF(B105="","",IF(OR(F105="FAIL",K105="泄漏"),"DROP",IF(G105="FAIL","RELABEL",IF(OR(H105="FAIL",I105="FAIL",J105="FAIL"),"REWORK",IF(COUNTIF(F105:J105,"PENDING")&gt;0,"PENDING","REUSE")))))</f>
        <v/>
      </c>
      <c r="M105" s="20" t="inlineStr">
        <is>
          <t>PENDING</t>
        </is>
      </c>
      <c r="N105" s="20" t="str"/>
      <c r="O105" s="20" t="str"/>
      <c r="P105" s="20" t="str"/>
      <c r="Q105" s="20" t="inlineStr">
        <is>
          <t>待确认</t>
        </is>
      </c>
      <c r="R105" s="20" t="inlineStr">
        <is>
          <t>未开始</t>
        </is>
      </c>
      <c r="S105">
        <f>IF(B105="","",IF(E105="已暴露","DEV_REG_ONLY","ANY"))</f>
        <v/>
      </c>
    </row>
    <row r="106">
      <c r="A106" s="20" t="n">
        <v>103</v>
      </c>
      <c r="B106" s="20" t="str"/>
      <c r="C106" s="20" t="str"/>
      <c r="D106" s="20" t="str"/>
      <c r="E106" s="20" t="str"/>
      <c r="F106" s="20" t="inlineStr">
        <is>
          <t>PENDING</t>
        </is>
      </c>
      <c r="G106" s="20" t="inlineStr">
        <is>
          <t>PENDING</t>
        </is>
      </c>
      <c r="H106" s="20" t="inlineStr">
        <is>
          <t>PENDING</t>
        </is>
      </c>
      <c r="I106" s="20" t="inlineStr">
        <is>
          <t>PENDING</t>
        </is>
      </c>
      <c r="J106" s="20" t="inlineStr">
        <is>
          <t>PENDING</t>
        </is>
      </c>
      <c r="K106" s="20" t="inlineStr">
        <is>
          <t>待确认</t>
        </is>
      </c>
      <c r="L106" s="20">
        <f>IF(B106="","",IF(OR(F106="FAIL",K106="泄漏"),"DROP",IF(G106="FAIL","RELABEL",IF(OR(H106="FAIL",I106="FAIL",J106="FAIL"),"REWORK",IF(COUNTIF(F106:J106,"PENDING")&gt;0,"PENDING","REUSE")))))</f>
        <v/>
      </c>
      <c r="M106" s="20" t="inlineStr">
        <is>
          <t>PENDING</t>
        </is>
      </c>
      <c r="N106" s="20" t="str"/>
      <c r="O106" s="20" t="str"/>
      <c r="P106" s="20" t="str"/>
      <c r="Q106" s="20" t="inlineStr">
        <is>
          <t>待确认</t>
        </is>
      </c>
      <c r="R106" s="20" t="inlineStr">
        <is>
          <t>未开始</t>
        </is>
      </c>
      <c r="S106">
        <f>IF(B106="","",IF(E106="已暴露","DEV_REG_ONLY","ANY"))</f>
        <v/>
      </c>
    </row>
    <row r="107">
      <c r="A107" s="20" t="n">
        <v>104</v>
      </c>
      <c r="B107" s="20" t="str"/>
      <c r="C107" s="20" t="str"/>
      <c r="D107" s="20" t="str"/>
      <c r="E107" s="20" t="str"/>
      <c r="F107" s="20" t="inlineStr">
        <is>
          <t>PENDING</t>
        </is>
      </c>
      <c r="G107" s="20" t="inlineStr">
        <is>
          <t>PENDING</t>
        </is>
      </c>
      <c r="H107" s="20" t="inlineStr">
        <is>
          <t>PENDING</t>
        </is>
      </c>
      <c r="I107" s="20" t="inlineStr">
        <is>
          <t>PENDING</t>
        </is>
      </c>
      <c r="J107" s="20" t="inlineStr">
        <is>
          <t>PENDING</t>
        </is>
      </c>
      <c r="K107" s="20" t="inlineStr">
        <is>
          <t>待确认</t>
        </is>
      </c>
      <c r="L107" s="20">
        <f>IF(B107="","",IF(OR(F107="FAIL",K107="泄漏"),"DROP",IF(G107="FAIL","RELABEL",IF(OR(H107="FAIL",I107="FAIL",J107="FAIL"),"REWORK",IF(COUNTIF(F107:J107,"PENDING")&gt;0,"PENDING","REUSE")))))</f>
        <v/>
      </c>
      <c r="M107" s="20" t="inlineStr">
        <is>
          <t>PENDING</t>
        </is>
      </c>
      <c r="N107" s="20" t="str"/>
      <c r="O107" s="20" t="str"/>
      <c r="P107" s="20" t="str"/>
      <c r="Q107" s="20" t="inlineStr">
        <is>
          <t>待确认</t>
        </is>
      </c>
      <c r="R107" s="20" t="inlineStr">
        <is>
          <t>未开始</t>
        </is>
      </c>
      <c r="S107">
        <f>IF(B107="","",IF(E107="已暴露","DEV_REG_ONLY","ANY"))</f>
        <v/>
      </c>
    </row>
    <row r="108">
      <c r="A108" s="20" t="n">
        <v>105</v>
      </c>
      <c r="B108" s="20" t="str"/>
      <c r="C108" s="20" t="str"/>
      <c r="D108" s="20" t="str"/>
      <c r="E108" s="20" t="str"/>
      <c r="F108" s="20" t="inlineStr">
        <is>
          <t>PENDING</t>
        </is>
      </c>
      <c r="G108" s="20" t="inlineStr">
        <is>
          <t>PENDING</t>
        </is>
      </c>
      <c r="H108" s="20" t="inlineStr">
        <is>
          <t>PENDING</t>
        </is>
      </c>
      <c r="I108" s="20" t="inlineStr">
        <is>
          <t>PENDING</t>
        </is>
      </c>
      <c r="J108" s="20" t="inlineStr">
        <is>
          <t>PENDING</t>
        </is>
      </c>
      <c r="K108" s="20" t="inlineStr">
        <is>
          <t>待确认</t>
        </is>
      </c>
      <c r="L108" s="20">
        <f>IF(B108="","",IF(OR(F108="FAIL",K108="泄漏"),"DROP",IF(G108="FAIL","RELABEL",IF(OR(H108="FAIL",I108="FAIL",J108="FAIL"),"REWORK",IF(COUNTIF(F108:J108,"PENDING")&gt;0,"PENDING","REUSE")))))</f>
        <v/>
      </c>
      <c r="M108" s="20" t="inlineStr">
        <is>
          <t>PENDING</t>
        </is>
      </c>
      <c r="N108" s="20" t="str"/>
      <c r="O108" s="20" t="str"/>
      <c r="P108" s="20" t="str"/>
      <c r="Q108" s="20" t="inlineStr">
        <is>
          <t>待确认</t>
        </is>
      </c>
      <c r="R108" s="20" t="inlineStr">
        <is>
          <t>未开始</t>
        </is>
      </c>
      <c r="S108">
        <f>IF(B108="","",IF(E108="已暴露","DEV_REG_ONLY","ANY"))</f>
        <v/>
      </c>
    </row>
    <row r="109">
      <c r="A109" s="20" t="n">
        <v>106</v>
      </c>
      <c r="B109" s="20" t="str"/>
      <c r="C109" s="20" t="str"/>
      <c r="D109" s="20" t="str"/>
      <c r="E109" s="20" t="str"/>
      <c r="F109" s="20" t="inlineStr">
        <is>
          <t>PENDING</t>
        </is>
      </c>
      <c r="G109" s="20" t="inlineStr">
        <is>
          <t>PENDING</t>
        </is>
      </c>
      <c r="H109" s="20" t="inlineStr">
        <is>
          <t>PENDING</t>
        </is>
      </c>
      <c r="I109" s="20" t="inlineStr">
        <is>
          <t>PENDING</t>
        </is>
      </c>
      <c r="J109" s="20" t="inlineStr">
        <is>
          <t>PENDING</t>
        </is>
      </c>
      <c r="K109" s="20" t="inlineStr">
        <is>
          <t>待确认</t>
        </is>
      </c>
      <c r="L109" s="20">
        <f>IF(B109="","",IF(OR(F109="FAIL",K109="泄漏"),"DROP",IF(G109="FAIL","RELABEL",IF(OR(H109="FAIL",I109="FAIL",J109="FAIL"),"REWORK",IF(COUNTIF(F109:J109,"PENDING")&gt;0,"PENDING","REUSE")))))</f>
        <v/>
      </c>
      <c r="M109" s="20" t="inlineStr">
        <is>
          <t>PENDING</t>
        </is>
      </c>
      <c r="N109" s="20" t="str"/>
      <c r="O109" s="20" t="str"/>
      <c r="P109" s="20" t="str"/>
      <c r="Q109" s="20" t="inlineStr">
        <is>
          <t>待确认</t>
        </is>
      </c>
      <c r="R109" s="20" t="inlineStr">
        <is>
          <t>未开始</t>
        </is>
      </c>
      <c r="S109">
        <f>IF(B109="","",IF(E109="已暴露","DEV_REG_ONLY","ANY"))</f>
        <v/>
      </c>
    </row>
    <row r="110">
      <c r="A110" s="20" t="n">
        <v>107</v>
      </c>
      <c r="B110" s="20" t="str"/>
      <c r="C110" s="20" t="str"/>
      <c r="D110" s="20" t="str"/>
      <c r="E110" s="20" t="str"/>
      <c r="F110" s="20" t="inlineStr">
        <is>
          <t>PENDING</t>
        </is>
      </c>
      <c r="G110" s="20" t="inlineStr">
        <is>
          <t>PENDING</t>
        </is>
      </c>
      <c r="H110" s="20" t="inlineStr">
        <is>
          <t>PENDING</t>
        </is>
      </c>
      <c r="I110" s="20" t="inlineStr">
        <is>
          <t>PENDING</t>
        </is>
      </c>
      <c r="J110" s="20" t="inlineStr">
        <is>
          <t>PENDING</t>
        </is>
      </c>
      <c r="K110" s="20" t="inlineStr">
        <is>
          <t>待确认</t>
        </is>
      </c>
      <c r="L110" s="20">
        <f>IF(B110="","",IF(OR(F110="FAIL",K110="泄漏"),"DROP",IF(G110="FAIL","RELABEL",IF(OR(H110="FAIL",I110="FAIL",J110="FAIL"),"REWORK",IF(COUNTIF(F110:J110,"PENDING")&gt;0,"PENDING","REUSE")))))</f>
        <v/>
      </c>
      <c r="M110" s="20" t="inlineStr">
        <is>
          <t>PENDING</t>
        </is>
      </c>
      <c r="N110" s="20" t="str"/>
      <c r="O110" s="20" t="str"/>
      <c r="P110" s="20" t="str"/>
      <c r="Q110" s="20" t="inlineStr">
        <is>
          <t>待确认</t>
        </is>
      </c>
      <c r="R110" s="20" t="inlineStr">
        <is>
          <t>未开始</t>
        </is>
      </c>
      <c r="S110">
        <f>IF(B110="","",IF(E110="已暴露","DEV_REG_ONLY","ANY"))</f>
        <v/>
      </c>
    </row>
    <row r="111">
      <c r="A111" s="20" t="n">
        <v>108</v>
      </c>
      <c r="B111" s="20" t="str"/>
      <c r="C111" s="20" t="str"/>
      <c r="D111" s="20" t="str"/>
      <c r="E111" s="20" t="str"/>
      <c r="F111" s="20" t="inlineStr">
        <is>
          <t>PENDING</t>
        </is>
      </c>
      <c r="G111" s="20" t="inlineStr">
        <is>
          <t>PENDING</t>
        </is>
      </c>
      <c r="H111" s="20" t="inlineStr">
        <is>
          <t>PENDING</t>
        </is>
      </c>
      <c r="I111" s="20" t="inlineStr">
        <is>
          <t>PENDING</t>
        </is>
      </c>
      <c r="J111" s="20" t="inlineStr">
        <is>
          <t>PENDING</t>
        </is>
      </c>
      <c r="K111" s="20" t="inlineStr">
        <is>
          <t>待确认</t>
        </is>
      </c>
      <c r="L111" s="20">
        <f>IF(B111="","",IF(OR(F111="FAIL",K111="泄漏"),"DROP",IF(G111="FAIL","RELABEL",IF(OR(H111="FAIL",I111="FAIL",J111="FAIL"),"REWORK",IF(COUNTIF(F111:J111,"PENDING")&gt;0,"PENDING","REUSE")))))</f>
        <v/>
      </c>
      <c r="M111" s="20" t="inlineStr">
        <is>
          <t>PENDING</t>
        </is>
      </c>
      <c r="N111" s="20" t="str"/>
      <c r="O111" s="20" t="str"/>
      <c r="P111" s="20" t="str"/>
      <c r="Q111" s="20" t="inlineStr">
        <is>
          <t>待确认</t>
        </is>
      </c>
      <c r="R111" s="20" t="inlineStr">
        <is>
          <t>未开始</t>
        </is>
      </c>
      <c r="S111">
        <f>IF(B111="","",IF(E111="已暴露","DEV_REG_ONLY","ANY"))</f>
        <v/>
      </c>
    </row>
    <row r="112">
      <c r="A112" s="20" t="n">
        <v>109</v>
      </c>
      <c r="B112" s="20" t="str"/>
      <c r="C112" s="20" t="str"/>
      <c r="D112" s="20" t="str"/>
      <c r="E112" s="20" t="str"/>
      <c r="F112" s="20" t="inlineStr">
        <is>
          <t>PENDING</t>
        </is>
      </c>
      <c r="G112" s="20" t="inlineStr">
        <is>
          <t>PENDING</t>
        </is>
      </c>
      <c r="H112" s="20" t="inlineStr">
        <is>
          <t>PENDING</t>
        </is>
      </c>
      <c r="I112" s="20" t="inlineStr">
        <is>
          <t>PENDING</t>
        </is>
      </c>
      <c r="J112" s="20" t="inlineStr">
        <is>
          <t>PENDING</t>
        </is>
      </c>
      <c r="K112" s="20" t="inlineStr">
        <is>
          <t>待确认</t>
        </is>
      </c>
      <c r="L112" s="20">
        <f>IF(B112="","",IF(OR(F112="FAIL",K112="泄漏"),"DROP",IF(G112="FAIL","RELABEL",IF(OR(H112="FAIL",I112="FAIL",J112="FAIL"),"REWORK",IF(COUNTIF(F112:J112,"PENDING")&gt;0,"PENDING","REUSE")))))</f>
        <v/>
      </c>
      <c r="M112" s="20" t="inlineStr">
        <is>
          <t>PENDING</t>
        </is>
      </c>
      <c r="N112" s="20" t="str"/>
      <c r="O112" s="20" t="str"/>
      <c r="P112" s="20" t="str"/>
      <c r="Q112" s="20" t="inlineStr">
        <is>
          <t>待确认</t>
        </is>
      </c>
      <c r="R112" s="20" t="inlineStr">
        <is>
          <t>未开始</t>
        </is>
      </c>
      <c r="S112">
        <f>IF(B112="","",IF(E112="已暴露","DEV_REG_ONLY","ANY"))</f>
        <v/>
      </c>
    </row>
    <row r="113">
      <c r="A113" s="20" t="n">
        <v>110</v>
      </c>
      <c r="B113" s="20" t="str"/>
      <c r="C113" s="20" t="str"/>
      <c r="D113" s="20" t="str"/>
      <c r="E113" s="20" t="str"/>
      <c r="F113" s="20" t="inlineStr">
        <is>
          <t>PENDING</t>
        </is>
      </c>
      <c r="G113" s="20" t="inlineStr">
        <is>
          <t>PENDING</t>
        </is>
      </c>
      <c r="H113" s="20" t="inlineStr">
        <is>
          <t>PENDING</t>
        </is>
      </c>
      <c r="I113" s="20" t="inlineStr">
        <is>
          <t>PENDING</t>
        </is>
      </c>
      <c r="J113" s="20" t="inlineStr">
        <is>
          <t>PENDING</t>
        </is>
      </c>
      <c r="K113" s="20" t="inlineStr">
        <is>
          <t>待确认</t>
        </is>
      </c>
      <c r="L113" s="20">
        <f>IF(B113="","",IF(OR(F113="FAIL",K113="泄漏"),"DROP",IF(G113="FAIL","RELABEL",IF(OR(H113="FAIL",I113="FAIL",J113="FAIL"),"REWORK",IF(COUNTIF(F113:J113,"PENDING")&gt;0,"PENDING","REUSE")))))</f>
        <v/>
      </c>
      <c r="M113" s="20" t="inlineStr">
        <is>
          <t>PENDING</t>
        </is>
      </c>
      <c r="N113" s="20" t="str"/>
      <c r="O113" s="20" t="str"/>
      <c r="P113" s="20" t="str"/>
      <c r="Q113" s="20" t="inlineStr">
        <is>
          <t>待确认</t>
        </is>
      </c>
      <c r="R113" s="20" t="inlineStr">
        <is>
          <t>未开始</t>
        </is>
      </c>
      <c r="S113">
        <f>IF(B113="","",IF(E113="已暴露","DEV_REG_ONLY","ANY"))</f>
        <v/>
      </c>
    </row>
    <row r="114">
      <c r="A114" s="20" t="n">
        <v>111</v>
      </c>
      <c r="B114" s="20" t="str"/>
      <c r="C114" s="20" t="str"/>
      <c r="D114" s="20" t="str"/>
      <c r="E114" s="20" t="str"/>
      <c r="F114" s="20" t="inlineStr">
        <is>
          <t>PENDING</t>
        </is>
      </c>
      <c r="G114" s="20" t="inlineStr">
        <is>
          <t>PENDING</t>
        </is>
      </c>
      <c r="H114" s="20" t="inlineStr">
        <is>
          <t>PENDING</t>
        </is>
      </c>
      <c r="I114" s="20" t="inlineStr">
        <is>
          <t>PENDING</t>
        </is>
      </c>
      <c r="J114" s="20" t="inlineStr">
        <is>
          <t>PENDING</t>
        </is>
      </c>
      <c r="K114" s="20" t="inlineStr">
        <is>
          <t>待确认</t>
        </is>
      </c>
      <c r="L114" s="20">
        <f>IF(B114="","",IF(OR(F114="FAIL",K114="泄漏"),"DROP",IF(G114="FAIL","RELABEL",IF(OR(H114="FAIL",I114="FAIL",J114="FAIL"),"REWORK",IF(COUNTIF(F114:J114,"PENDING")&gt;0,"PENDING","REUSE")))))</f>
        <v/>
      </c>
      <c r="M114" s="20" t="inlineStr">
        <is>
          <t>PENDING</t>
        </is>
      </c>
      <c r="N114" s="20" t="str"/>
      <c r="O114" s="20" t="str"/>
      <c r="P114" s="20" t="str"/>
      <c r="Q114" s="20" t="inlineStr">
        <is>
          <t>待确认</t>
        </is>
      </c>
      <c r="R114" s="20" t="inlineStr">
        <is>
          <t>未开始</t>
        </is>
      </c>
      <c r="S114">
        <f>IF(B114="","",IF(E114="已暴露","DEV_REG_ONLY","ANY"))</f>
        <v/>
      </c>
    </row>
    <row r="115">
      <c r="A115" s="20" t="n">
        <v>112</v>
      </c>
      <c r="B115" s="20" t="str"/>
      <c r="C115" s="20" t="str"/>
      <c r="D115" s="20" t="str"/>
      <c r="E115" s="20" t="str"/>
      <c r="F115" s="20" t="inlineStr">
        <is>
          <t>PENDING</t>
        </is>
      </c>
      <c r="G115" s="20" t="inlineStr">
        <is>
          <t>PENDING</t>
        </is>
      </c>
      <c r="H115" s="20" t="inlineStr">
        <is>
          <t>PENDING</t>
        </is>
      </c>
      <c r="I115" s="20" t="inlineStr">
        <is>
          <t>PENDING</t>
        </is>
      </c>
      <c r="J115" s="20" t="inlineStr">
        <is>
          <t>PENDING</t>
        </is>
      </c>
      <c r="K115" s="20" t="inlineStr">
        <is>
          <t>待确认</t>
        </is>
      </c>
      <c r="L115" s="20">
        <f>IF(B115="","",IF(OR(F115="FAIL",K115="泄漏"),"DROP",IF(G115="FAIL","RELABEL",IF(OR(H115="FAIL",I115="FAIL",J115="FAIL"),"REWORK",IF(COUNTIF(F115:J115,"PENDING")&gt;0,"PENDING","REUSE")))))</f>
        <v/>
      </c>
      <c r="M115" s="20" t="inlineStr">
        <is>
          <t>PENDING</t>
        </is>
      </c>
      <c r="N115" s="20" t="str"/>
      <c r="O115" s="20" t="str"/>
      <c r="P115" s="20" t="str"/>
      <c r="Q115" s="20" t="inlineStr">
        <is>
          <t>待确认</t>
        </is>
      </c>
      <c r="R115" s="20" t="inlineStr">
        <is>
          <t>未开始</t>
        </is>
      </c>
      <c r="S115">
        <f>IF(B115="","",IF(E115="已暴露","DEV_REG_ONLY","ANY"))</f>
        <v/>
      </c>
    </row>
    <row r="116">
      <c r="A116" s="20" t="n">
        <v>113</v>
      </c>
      <c r="B116" s="20" t="str"/>
      <c r="C116" s="20" t="str"/>
      <c r="D116" s="20" t="str"/>
      <c r="E116" s="20" t="str"/>
      <c r="F116" s="20" t="inlineStr">
        <is>
          <t>PENDING</t>
        </is>
      </c>
      <c r="G116" s="20" t="inlineStr">
        <is>
          <t>PENDING</t>
        </is>
      </c>
      <c r="H116" s="20" t="inlineStr">
        <is>
          <t>PENDING</t>
        </is>
      </c>
      <c r="I116" s="20" t="inlineStr">
        <is>
          <t>PENDING</t>
        </is>
      </c>
      <c r="J116" s="20" t="inlineStr">
        <is>
          <t>PENDING</t>
        </is>
      </c>
      <c r="K116" s="20" t="inlineStr">
        <is>
          <t>待确认</t>
        </is>
      </c>
      <c r="L116" s="20">
        <f>IF(B116="","",IF(OR(F116="FAIL",K116="泄漏"),"DROP",IF(G116="FAIL","RELABEL",IF(OR(H116="FAIL",I116="FAIL",J116="FAIL"),"REWORK",IF(COUNTIF(F116:J116,"PENDING")&gt;0,"PENDING","REUSE")))))</f>
        <v/>
      </c>
      <c r="M116" s="20" t="inlineStr">
        <is>
          <t>PENDING</t>
        </is>
      </c>
      <c r="N116" s="20" t="str"/>
      <c r="O116" s="20" t="str"/>
      <c r="P116" s="20" t="str"/>
      <c r="Q116" s="20" t="inlineStr">
        <is>
          <t>待确认</t>
        </is>
      </c>
      <c r="R116" s="20" t="inlineStr">
        <is>
          <t>未开始</t>
        </is>
      </c>
      <c r="S116">
        <f>IF(B116="","",IF(E116="已暴露","DEV_REG_ONLY","ANY"))</f>
        <v/>
      </c>
    </row>
    <row r="117">
      <c r="A117" s="20" t="n">
        <v>114</v>
      </c>
      <c r="B117" s="20" t="str"/>
      <c r="C117" s="20" t="str"/>
      <c r="D117" s="20" t="str"/>
      <c r="E117" s="20" t="str"/>
      <c r="F117" s="20" t="inlineStr">
        <is>
          <t>PENDING</t>
        </is>
      </c>
      <c r="G117" s="20" t="inlineStr">
        <is>
          <t>PENDING</t>
        </is>
      </c>
      <c r="H117" s="20" t="inlineStr">
        <is>
          <t>PENDING</t>
        </is>
      </c>
      <c r="I117" s="20" t="inlineStr">
        <is>
          <t>PENDING</t>
        </is>
      </c>
      <c r="J117" s="20" t="inlineStr">
        <is>
          <t>PENDING</t>
        </is>
      </c>
      <c r="K117" s="20" t="inlineStr">
        <is>
          <t>待确认</t>
        </is>
      </c>
      <c r="L117" s="20">
        <f>IF(B117="","",IF(OR(F117="FAIL",K117="泄漏"),"DROP",IF(G117="FAIL","RELABEL",IF(OR(H117="FAIL",I117="FAIL",J117="FAIL"),"REWORK",IF(COUNTIF(F117:J117,"PENDING")&gt;0,"PENDING","REUSE")))))</f>
        <v/>
      </c>
      <c r="M117" s="20" t="inlineStr">
        <is>
          <t>PENDING</t>
        </is>
      </c>
      <c r="N117" s="20" t="str"/>
      <c r="O117" s="20" t="str"/>
      <c r="P117" s="20" t="str"/>
      <c r="Q117" s="20" t="inlineStr">
        <is>
          <t>待确认</t>
        </is>
      </c>
      <c r="R117" s="20" t="inlineStr">
        <is>
          <t>未开始</t>
        </is>
      </c>
      <c r="S117">
        <f>IF(B117="","",IF(E117="已暴露","DEV_REG_ONLY","ANY"))</f>
        <v/>
      </c>
    </row>
    <row r="118">
      <c r="A118" s="20" t="n">
        <v>115</v>
      </c>
      <c r="B118" s="20" t="str"/>
      <c r="C118" s="20" t="str"/>
      <c r="D118" s="20" t="str"/>
      <c r="E118" s="20" t="str"/>
      <c r="F118" s="20" t="inlineStr">
        <is>
          <t>PENDING</t>
        </is>
      </c>
      <c r="G118" s="20" t="inlineStr">
        <is>
          <t>PENDING</t>
        </is>
      </c>
      <c r="H118" s="20" t="inlineStr">
        <is>
          <t>PENDING</t>
        </is>
      </c>
      <c r="I118" s="20" t="inlineStr">
        <is>
          <t>PENDING</t>
        </is>
      </c>
      <c r="J118" s="20" t="inlineStr">
        <is>
          <t>PENDING</t>
        </is>
      </c>
      <c r="K118" s="20" t="inlineStr">
        <is>
          <t>待确认</t>
        </is>
      </c>
      <c r="L118" s="20">
        <f>IF(B118="","",IF(OR(F118="FAIL",K118="泄漏"),"DROP",IF(G118="FAIL","RELABEL",IF(OR(H118="FAIL",I118="FAIL",J118="FAIL"),"REWORK",IF(COUNTIF(F118:J118,"PENDING")&gt;0,"PENDING","REUSE")))))</f>
        <v/>
      </c>
      <c r="M118" s="20" t="inlineStr">
        <is>
          <t>PENDING</t>
        </is>
      </c>
      <c r="N118" s="20" t="str"/>
      <c r="O118" s="20" t="str"/>
      <c r="P118" s="20" t="str"/>
      <c r="Q118" s="20" t="inlineStr">
        <is>
          <t>待确认</t>
        </is>
      </c>
      <c r="R118" s="20" t="inlineStr">
        <is>
          <t>未开始</t>
        </is>
      </c>
      <c r="S118">
        <f>IF(B118="","",IF(E118="已暴露","DEV_REG_ONLY","ANY"))</f>
        <v/>
      </c>
    </row>
    <row r="119">
      <c r="A119" s="20" t="n">
        <v>116</v>
      </c>
      <c r="B119" s="20" t="str"/>
      <c r="C119" s="20" t="str"/>
      <c r="D119" s="20" t="str"/>
      <c r="E119" s="20" t="str"/>
      <c r="F119" s="20" t="inlineStr">
        <is>
          <t>PENDING</t>
        </is>
      </c>
      <c r="G119" s="20" t="inlineStr">
        <is>
          <t>PENDING</t>
        </is>
      </c>
      <c r="H119" s="20" t="inlineStr">
        <is>
          <t>PENDING</t>
        </is>
      </c>
      <c r="I119" s="20" t="inlineStr">
        <is>
          <t>PENDING</t>
        </is>
      </c>
      <c r="J119" s="20" t="inlineStr">
        <is>
          <t>PENDING</t>
        </is>
      </c>
      <c r="K119" s="20" t="inlineStr">
        <is>
          <t>待确认</t>
        </is>
      </c>
      <c r="L119" s="20">
        <f>IF(B119="","",IF(OR(F119="FAIL",K119="泄漏"),"DROP",IF(G119="FAIL","RELABEL",IF(OR(H119="FAIL",I119="FAIL",J119="FAIL"),"REWORK",IF(COUNTIF(F119:J119,"PENDING")&gt;0,"PENDING","REUSE")))))</f>
        <v/>
      </c>
      <c r="M119" s="20" t="inlineStr">
        <is>
          <t>PENDING</t>
        </is>
      </c>
      <c r="N119" s="20" t="str"/>
      <c r="O119" s="20" t="str"/>
      <c r="P119" s="20" t="str"/>
      <c r="Q119" s="20" t="inlineStr">
        <is>
          <t>待确认</t>
        </is>
      </c>
      <c r="R119" s="20" t="inlineStr">
        <is>
          <t>未开始</t>
        </is>
      </c>
      <c r="S119">
        <f>IF(B119="","",IF(E119="已暴露","DEV_REG_ONLY","ANY"))</f>
        <v/>
      </c>
    </row>
    <row r="120">
      <c r="A120" s="20" t="n">
        <v>117</v>
      </c>
      <c r="B120" s="20" t="str"/>
      <c r="C120" s="20" t="str"/>
      <c r="D120" s="20" t="str"/>
      <c r="E120" s="20" t="str"/>
      <c r="F120" s="20" t="inlineStr">
        <is>
          <t>PENDING</t>
        </is>
      </c>
      <c r="G120" s="20" t="inlineStr">
        <is>
          <t>PENDING</t>
        </is>
      </c>
      <c r="H120" s="20" t="inlineStr">
        <is>
          <t>PENDING</t>
        </is>
      </c>
      <c r="I120" s="20" t="inlineStr">
        <is>
          <t>PENDING</t>
        </is>
      </c>
      <c r="J120" s="20" t="inlineStr">
        <is>
          <t>PENDING</t>
        </is>
      </c>
      <c r="K120" s="20" t="inlineStr">
        <is>
          <t>待确认</t>
        </is>
      </c>
      <c r="L120" s="20">
        <f>IF(B120="","",IF(OR(F120="FAIL",K120="泄漏"),"DROP",IF(G120="FAIL","RELABEL",IF(OR(H120="FAIL",I120="FAIL",J120="FAIL"),"REWORK",IF(COUNTIF(F120:J120,"PENDING")&gt;0,"PENDING","REUSE")))))</f>
        <v/>
      </c>
      <c r="M120" s="20" t="inlineStr">
        <is>
          <t>PENDING</t>
        </is>
      </c>
      <c r="N120" s="20" t="str"/>
      <c r="O120" s="20" t="str"/>
      <c r="P120" s="20" t="str"/>
      <c r="Q120" s="20" t="inlineStr">
        <is>
          <t>待确认</t>
        </is>
      </c>
      <c r="R120" s="20" t="inlineStr">
        <is>
          <t>未开始</t>
        </is>
      </c>
      <c r="S120">
        <f>IF(B120="","",IF(E120="已暴露","DEV_REG_ONLY","ANY"))</f>
        <v/>
      </c>
    </row>
    <row r="121">
      <c r="A121" s="20" t="n">
        <v>118</v>
      </c>
      <c r="B121" s="20" t="str"/>
      <c r="C121" s="20" t="str"/>
      <c r="D121" s="20" t="str"/>
      <c r="E121" s="20" t="str"/>
      <c r="F121" s="20" t="inlineStr">
        <is>
          <t>PENDING</t>
        </is>
      </c>
      <c r="G121" s="20" t="inlineStr">
        <is>
          <t>PENDING</t>
        </is>
      </c>
      <c r="H121" s="20" t="inlineStr">
        <is>
          <t>PENDING</t>
        </is>
      </c>
      <c r="I121" s="20" t="inlineStr">
        <is>
          <t>PENDING</t>
        </is>
      </c>
      <c r="J121" s="20" t="inlineStr">
        <is>
          <t>PENDING</t>
        </is>
      </c>
      <c r="K121" s="20" t="inlineStr">
        <is>
          <t>待确认</t>
        </is>
      </c>
      <c r="L121" s="20">
        <f>IF(B121="","",IF(OR(F121="FAIL",K121="泄漏"),"DROP",IF(G121="FAIL","RELABEL",IF(OR(H121="FAIL",I121="FAIL",J121="FAIL"),"REWORK",IF(COUNTIF(F121:J121,"PENDING")&gt;0,"PENDING","REUSE")))))</f>
        <v/>
      </c>
      <c r="M121" s="20" t="inlineStr">
        <is>
          <t>PENDING</t>
        </is>
      </c>
      <c r="N121" s="20" t="str"/>
      <c r="O121" s="20" t="str"/>
      <c r="P121" s="20" t="str"/>
      <c r="Q121" s="20" t="inlineStr">
        <is>
          <t>待确认</t>
        </is>
      </c>
      <c r="R121" s="20" t="inlineStr">
        <is>
          <t>未开始</t>
        </is>
      </c>
      <c r="S121">
        <f>IF(B121="","",IF(E121="已暴露","DEV_REG_ONLY","ANY"))</f>
        <v/>
      </c>
    </row>
    <row r="122">
      <c r="A122" s="20" t="n">
        <v>119</v>
      </c>
      <c r="B122" s="20" t="str"/>
      <c r="C122" s="20" t="str"/>
      <c r="D122" s="20" t="str"/>
      <c r="E122" s="20" t="str"/>
      <c r="F122" s="20" t="inlineStr">
        <is>
          <t>PENDING</t>
        </is>
      </c>
      <c r="G122" s="20" t="inlineStr">
        <is>
          <t>PENDING</t>
        </is>
      </c>
      <c r="H122" s="20" t="inlineStr">
        <is>
          <t>PENDING</t>
        </is>
      </c>
      <c r="I122" s="20" t="inlineStr">
        <is>
          <t>PENDING</t>
        </is>
      </c>
      <c r="J122" s="20" t="inlineStr">
        <is>
          <t>PENDING</t>
        </is>
      </c>
      <c r="K122" s="20" t="inlineStr">
        <is>
          <t>待确认</t>
        </is>
      </c>
      <c r="L122" s="20">
        <f>IF(B122="","",IF(OR(F122="FAIL",K122="泄漏"),"DROP",IF(G122="FAIL","RELABEL",IF(OR(H122="FAIL",I122="FAIL",J122="FAIL"),"REWORK",IF(COUNTIF(F122:J122,"PENDING")&gt;0,"PENDING","REUSE")))))</f>
        <v/>
      </c>
      <c r="M122" s="20" t="inlineStr">
        <is>
          <t>PENDING</t>
        </is>
      </c>
      <c r="N122" s="20" t="str"/>
      <c r="O122" s="20" t="str"/>
      <c r="P122" s="20" t="str"/>
      <c r="Q122" s="20" t="inlineStr">
        <is>
          <t>待确认</t>
        </is>
      </c>
      <c r="R122" s="20" t="inlineStr">
        <is>
          <t>未开始</t>
        </is>
      </c>
      <c r="S122">
        <f>IF(B122="","",IF(E122="已暴露","DEV_REG_ONLY","ANY"))</f>
        <v/>
      </c>
    </row>
    <row r="123">
      <c r="A123" s="20" t="n">
        <v>120</v>
      </c>
      <c r="B123" s="20" t="str"/>
      <c r="C123" s="20" t="str"/>
      <c r="D123" s="20" t="str"/>
      <c r="E123" s="20" t="str"/>
      <c r="F123" s="20" t="inlineStr">
        <is>
          <t>PENDING</t>
        </is>
      </c>
      <c r="G123" s="20" t="inlineStr">
        <is>
          <t>PENDING</t>
        </is>
      </c>
      <c r="H123" s="20" t="inlineStr">
        <is>
          <t>PENDING</t>
        </is>
      </c>
      <c r="I123" s="20" t="inlineStr">
        <is>
          <t>PENDING</t>
        </is>
      </c>
      <c r="J123" s="20" t="inlineStr">
        <is>
          <t>PENDING</t>
        </is>
      </c>
      <c r="K123" s="20" t="inlineStr">
        <is>
          <t>待确认</t>
        </is>
      </c>
      <c r="L123" s="20">
        <f>IF(B123="","",IF(OR(F123="FAIL",K123="泄漏"),"DROP",IF(G123="FAIL","RELABEL",IF(OR(H123="FAIL",I123="FAIL",J123="FAIL"),"REWORK",IF(COUNTIF(F123:J123,"PENDING")&gt;0,"PENDING","REUSE")))))</f>
        <v/>
      </c>
      <c r="M123" s="20" t="inlineStr">
        <is>
          <t>PENDING</t>
        </is>
      </c>
      <c r="N123" s="20" t="str"/>
      <c r="O123" s="20" t="str"/>
      <c r="P123" s="20" t="str"/>
      <c r="Q123" s="20" t="inlineStr">
        <is>
          <t>待确认</t>
        </is>
      </c>
      <c r="R123" s="20" t="inlineStr">
        <is>
          <t>未开始</t>
        </is>
      </c>
      <c r="S123">
        <f>IF(B123="","",IF(E123="已暴露","DEV_REG_ONLY","ANY"))</f>
        <v/>
      </c>
    </row>
    <row r="124">
      <c r="A124" s="20" t="n">
        <v>121</v>
      </c>
      <c r="B124" s="20" t="str"/>
      <c r="C124" s="20" t="str"/>
      <c r="D124" s="20" t="str"/>
      <c r="E124" s="20" t="str"/>
      <c r="F124" s="20" t="inlineStr">
        <is>
          <t>PENDING</t>
        </is>
      </c>
      <c r="G124" s="20" t="inlineStr">
        <is>
          <t>PENDING</t>
        </is>
      </c>
      <c r="H124" s="20" t="inlineStr">
        <is>
          <t>PENDING</t>
        </is>
      </c>
      <c r="I124" s="20" t="inlineStr">
        <is>
          <t>PENDING</t>
        </is>
      </c>
      <c r="J124" s="20" t="inlineStr">
        <is>
          <t>PENDING</t>
        </is>
      </c>
      <c r="K124" s="20" t="inlineStr">
        <is>
          <t>待确认</t>
        </is>
      </c>
      <c r="L124" s="20">
        <f>IF(B124="","",IF(OR(F124="FAIL",K124="泄漏"),"DROP",IF(G124="FAIL","RELABEL",IF(OR(H124="FAIL",I124="FAIL",J124="FAIL"),"REWORK",IF(COUNTIF(F124:J124,"PENDING")&gt;0,"PENDING","REUSE")))))</f>
        <v/>
      </c>
      <c r="M124" s="20" t="inlineStr">
        <is>
          <t>PENDING</t>
        </is>
      </c>
      <c r="N124" s="20" t="str"/>
      <c r="O124" s="20" t="str"/>
      <c r="P124" s="20" t="str"/>
      <c r="Q124" s="20" t="inlineStr">
        <is>
          <t>待确认</t>
        </is>
      </c>
      <c r="R124" s="20" t="inlineStr">
        <is>
          <t>未开始</t>
        </is>
      </c>
      <c r="S124">
        <f>IF(B124="","",IF(E124="已暴露","DEV_REG_ONLY","ANY"))</f>
        <v/>
      </c>
    </row>
    <row r="125">
      <c r="A125" s="20" t="n">
        <v>122</v>
      </c>
      <c r="B125" s="20" t="str"/>
      <c r="C125" s="20" t="str"/>
      <c r="D125" s="20" t="str"/>
      <c r="E125" s="20" t="str"/>
      <c r="F125" s="20" t="inlineStr">
        <is>
          <t>PENDING</t>
        </is>
      </c>
      <c r="G125" s="20" t="inlineStr">
        <is>
          <t>PENDING</t>
        </is>
      </c>
      <c r="H125" s="20" t="inlineStr">
        <is>
          <t>PENDING</t>
        </is>
      </c>
      <c r="I125" s="20" t="inlineStr">
        <is>
          <t>PENDING</t>
        </is>
      </c>
      <c r="J125" s="20" t="inlineStr">
        <is>
          <t>PENDING</t>
        </is>
      </c>
      <c r="K125" s="20" t="inlineStr">
        <is>
          <t>待确认</t>
        </is>
      </c>
      <c r="L125" s="20">
        <f>IF(B125="","",IF(OR(F125="FAIL",K125="泄漏"),"DROP",IF(G125="FAIL","RELABEL",IF(OR(H125="FAIL",I125="FAIL",J125="FAIL"),"REWORK",IF(COUNTIF(F125:J125,"PENDING")&gt;0,"PENDING","REUSE")))))</f>
        <v/>
      </c>
      <c r="M125" s="20" t="inlineStr">
        <is>
          <t>PENDING</t>
        </is>
      </c>
      <c r="N125" s="20" t="str"/>
      <c r="O125" s="20" t="str"/>
      <c r="P125" s="20" t="str"/>
      <c r="Q125" s="20" t="inlineStr">
        <is>
          <t>待确认</t>
        </is>
      </c>
      <c r="R125" s="20" t="inlineStr">
        <is>
          <t>未开始</t>
        </is>
      </c>
      <c r="S125">
        <f>IF(B125="","",IF(E125="已暴露","DEV_REG_ONLY","ANY"))</f>
        <v/>
      </c>
    </row>
    <row r="126">
      <c r="A126" s="20" t="n">
        <v>123</v>
      </c>
      <c r="B126" s="20" t="str"/>
      <c r="C126" s="20" t="str"/>
      <c r="D126" s="20" t="str"/>
      <c r="E126" s="20" t="str"/>
      <c r="F126" s="20" t="inlineStr">
        <is>
          <t>PENDING</t>
        </is>
      </c>
      <c r="G126" s="20" t="inlineStr">
        <is>
          <t>PENDING</t>
        </is>
      </c>
      <c r="H126" s="20" t="inlineStr">
        <is>
          <t>PENDING</t>
        </is>
      </c>
      <c r="I126" s="20" t="inlineStr">
        <is>
          <t>PENDING</t>
        </is>
      </c>
      <c r="J126" s="20" t="inlineStr">
        <is>
          <t>PENDING</t>
        </is>
      </c>
      <c r="K126" s="20" t="inlineStr">
        <is>
          <t>待确认</t>
        </is>
      </c>
      <c r="L126" s="20">
        <f>IF(B126="","",IF(OR(F126="FAIL",K126="泄漏"),"DROP",IF(G126="FAIL","RELABEL",IF(OR(H126="FAIL",I126="FAIL",J126="FAIL"),"REWORK",IF(COUNTIF(F126:J126,"PENDING")&gt;0,"PENDING","REUSE")))))</f>
        <v/>
      </c>
      <c r="M126" s="20" t="inlineStr">
        <is>
          <t>PENDING</t>
        </is>
      </c>
      <c r="N126" s="20" t="str"/>
      <c r="O126" s="20" t="str"/>
      <c r="P126" s="20" t="str"/>
      <c r="Q126" s="20" t="inlineStr">
        <is>
          <t>待确认</t>
        </is>
      </c>
      <c r="R126" s="20" t="inlineStr">
        <is>
          <t>未开始</t>
        </is>
      </c>
      <c r="S126">
        <f>IF(B126="","",IF(E126="已暴露","DEV_REG_ONLY","ANY"))</f>
        <v/>
      </c>
    </row>
    <row r="127">
      <c r="A127" s="20" t="n">
        <v>124</v>
      </c>
      <c r="B127" s="20" t="str"/>
      <c r="C127" s="20" t="str"/>
      <c r="D127" s="20" t="str"/>
      <c r="E127" s="20" t="str"/>
      <c r="F127" s="20" t="inlineStr">
        <is>
          <t>PENDING</t>
        </is>
      </c>
      <c r="G127" s="20" t="inlineStr">
        <is>
          <t>PENDING</t>
        </is>
      </c>
      <c r="H127" s="20" t="inlineStr">
        <is>
          <t>PENDING</t>
        </is>
      </c>
      <c r="I127" s="20" t="inlineStr">
        <is>
          <t>PENDING</t>
        </is>
      </c>
      <c r="J127" s="20" t="inlineStr">
        <is>
          <t>PENDING</t>
        </is>
      </c>
      <c r="K127" s="20" t="inlineStr">
        <is>
          <t>待确认</t>
        </is>
      </c>
      <c r="L127" s="20">
        <f>IF(B127="","",IF(OR(F127="FAIL",K127="泄漏"),"DROP",IF(G127="FAIL","RELABEL",IF(OR(H127="FAIL",I127="FAIL",J127="FAIL"),"REWORK",IF(COUNTIF(F127:J127,"PENDING")&gt;0,"PENDING","REUSE")))))</f>
        <v/>
      </c>
      <c r="M127" s="20" t="inlineStr">
        <is>
          <t>PENDING</t>
        </is>
      </c>
      <c r="N127" s="20" t="str"/>
      <c r="O127" s="20" t="str"/>
      <c r="P127" s="20" t="str"/>
      <c r="Q127" s="20" t="inlineStr">
        <is>
          <t>待确认</t>
        </is>
      </c>
      <c r="R127" s="20" t="inlineStr">
        <is>
          <t>未开始</t>
        </is>
      </c>
      <c r="S127">
        <f>IF(B127="","",IF(E127="已暴露","DEV_REG_ONLY","ANY"))</f>
        <v/>
      </c>
    </row>
    <row r="128">
      <c r="A128" s="20" t="n">
        <v>125</v>
      </c>
      <c r="B128" s="20" t="str"/>
      <c r="C128" s="20" t="str"/>
      <c r="D128" s="20" t="str"/>
      <c r="E128" s="20" t="str"/>
      <c r="F128" s="20" t="inlineStr">
        <is>
          <t>PENDING</t>
        </is>
      </c>
      <c r="G128" s="20" t="inlineStr">
        <is>
          <t>PENDING</t>
        </is>
      </c>
      <c r="H128" s="20" t="inlineStr">
        <is>
          <t>PENDING</t>
        </is>
      </c>
      <c r="I128" s="20" t="inlineStr">
        <is>
          <t>PENDING</t>
        </is>
      </c>
      <c r="J128" s="20" t="inlineStr">
        <is>
          <t>PENDING</t>
        </is>
      </c>
      <c r="K128" s="20" t="inlineStr">
        <is>
          <t>待确认</t>
        </is>
      </c>
      <c r="L128" s="20">
        <f>IF(B128="","",IF(OR(F128="FAIL",K128="泄漏"),"DROP",IF(G128="FAIL","RELABEL",IF(OR(H128="FAIL",I128="FAIL",J128="FAIL"),"REWORK",IF(COUNTIF(F128:J128,"PENDING")&gt;0,"PENDING","REUSE")))))</f>
        <v/>
      </c>
      <c r="M128" s="20" t="inlineStr">
        <is>
          <t>PENDING</t>
        </is>
      </c>
      <c r="N128" s="20" t="str"/>
      <c r="O128" s="20" t="str"/>
      <c r="P128" s="20" t="str"/>
      <c r="Q128" s="20" t="inlineStr">
        <is>
          <t>待确认</t>
        </is>
      </c>
      <c r="R128" s="20" t="inlineStr">
        <is>
          <t>未开始</t>
        </is>
      </c>
      <c r="S128">
        <f>IF(B128="","",IF(E128="已暴露","DEV_REG_ONLY","ANY"))</f>
        <v/>
      </c>
    </row>
    <row r="129">
      <c r="A129" s="20" t="n">
        <v>126</v>
      </c>
      <c r="B129" s="20" t="str"/>
      <c r="C129" s="20" t="str"/>
      <c r="D129" s="20" t="str"/>
      <c r="E129" s="20" t="str"/>
      <c r="F129" s="20" t="inlineStr">
        <is>
          <t>PENDING</t>
        </is>
      </c>
      <c r="G129" s="20" t="inlineStr">
        <is>
          <t>PENDING</t>
        </is>
      </c>
      <c r="H129" s="20" t="inlineStr">
        <is>
          <t>PENDING</t>
        </is>
      </c>
      <c r="I129" s="20" t="inlineStr">
        <is>
          <t>PENDING</t>
        </is>
      </c>
      <c r="J129" s="20" t="inlineStr">
        <is>
          <t>PENDING</t>
        </is>
      </c>
      <c r="K129" s="20" t="inlineStr">
        <is>
          <t>待确认</t>
        </is>
      </c>
      <c r="L129" s="20">
        <f>IF(B129="","",IF(OR(F129="FAIL",K129="泄漏"),"DROP",IF(G129="FAIL","RELABEL",IF(OR(H129="FAIL",I129="FAIL",J129="FAIL"),"REWORK",IF(COUNTIF(F129:J129,"PENDING")&gt;0,"PENDING","REUSE")))))</f>
        <v/>
      </c>
      <c r="M129" s="20" t="inlineStr">
        <is>
          <t>PENDING</t>
        </is>
      </c>
      <c r="N129" s="20" t="str"/>
      <c r="O129" s="20" t="str"/>
      <c r="P129" s="20" t="str"/>
      <c r="Q129" s="20" t="inlineStr">
        <is>
          <t>待确认</t>
        </is>
      </c>
      <c r="R129" s="20" t="inlineStr">
        <is>
          <t>未开始</t>
        </is>
      </c>
      <c r="S129">
        <f>IF(B129="","",IF(E129="已暴露","DEV_REG_ONLY","ANY"))</f>
        <v/>
      </c>
    </row>
    <row r="130">
      <c r="A130" s="20" t="n">
        <v>127</v>
      </c>
      <c r="B130" s="20" t="str"/>
      <c r="C130" s="20" t="str"/>
      <c r="D130" s="20" t="str"/>
      <c r="E130" s="20" t="str"/>
      <c r="F130" s="20" t="inlineStr">
        <is>
          <t>PENDING</t>
        </is>
      </c>
      <c r="G130" s="20" t="inlineStr">
        <is>
          <t>PENDING</t>
        </is>
      </c>
      <c r="H130" s="20" t="inlineStr">
        <is>
          <t>PENDING</t>
        </is>
      </c>
      <c r="I130" s="20" t="inlineStr">
        <is>
          <t>PENDING</t>
        </is>
      </c>
      <c r="J130" s="20" t="inlineStr">
        <is>
          <t>PENDING</t>
        </is>
      </c>
      <c r="K130" s="20" t="inlineStr">
        <is>
          <t>待确认</t>
        </is>
      </c>
      <c r="L130" s="20">
        <f>IF(B130="","",IF(OR(F130="FAIL",K130="泄漏"),"DROP",IF(G130="FAIL","RELABEL",IF(OR(H130="FAIL",I130="FAIL",J130="FAIL"),"REWORK",IF(COUNTIF(F130:J130,"PENDING")&gt;0,"PENDING","REUSE")))))</f>
        <v/>
      </c>
      <c r="M130" s="20" t="inlineStr">
        <is>
          <t>PENDING</t>
        </is>
      </c>
      <c r="N130" s="20" t="str"/>
      <c r="O130" s="20" t="str"/>
      <c r="P130" s="20" t="str"/>
      <c r="Q130" s="20" t="inlineStr">
        <is>
          <t>待确认</t>
        </is>
      </c>
      <c r="R130" s="20" t="inlineStr">
        <is>
          <t>未开始</t>
        </is>
      </c>
      <c r="S130">
        <f>IF(B130="","",IF(E130="已暴露","DEV_REG_ONLY","ANY"))</f>
        <v/>
      </c>
    </row>
    <row r="131">
      <c r="A131" s="20" t="n">
        <v>128</v>
      </c>
      <c r="B131" s="20" t="str"/>
      <c r="C131" s="20" t="str"/>
      <c r="D131" s="20" t="str"/>
      <c r="E131" s="20" t="str"/>
      <c r="F131" s="20" t="inlineStr">
        <is>
          <t>PENDING</t>
        </is>
      </c>
      <c r="G131" s="20" t="inlineStr">
        <is>
          <t>PENDING</t>
        </is>
      </c>
      <c r="H131" s="20" t="inlineStr">
        <is>
          <t>PENDING</t>
        </is>
      </c>
      <c r="I131" s="20" t="inlineStr">
        <is>
          <t>PENDING</t>
        </is>
      </c>
      <c r="J131" s="20" t="inlineStr">
        <is>
          <t>PENDING</t>
        </is>
      </c>
      <c r="K131" s="20" t="inlineStr">
        <is>
          <t>待确认</t>
        </is>
      </c>
      <c r="L131" s="20">
        <f>IF(B131="","",IF(OR(F131="FAIL",K131="泄漏"),"DROP",IF(G131="FAIL","RELABEL",IF(OR(H131="FAIL",I131="FAIL",J131="FAIL"),"REWORK",IF(COUNTIF(F131:J131,"PENDING")&gt;0,"PENDING","REUSE")))))</f>
        <v/>
      </c>
      <c r="M131" s="20" t="inlineStr">
        <is>
          <t>PENDING</t>
        </is>
      </c>
      <c r="N131" s="20" t="str"/>
      <c r="O131" s="20" t="str"/>
      <c r="P131" s="20" t="str"/>
      <c r="Q131" s="20" t="inlineStr">
        <is>
          <t>待确认</t>
        </is>
      </c>
      <c r="R131" s="20" t="inlineStr">
        <is>
          <t>未开始</t>
        </is>
      </c>
      <c r="S131">
        <f>IF(B131="","",IF(E131="已暴露","DEV_REG_ONLY","ANY"))</f>
        <v/>
      </c>
    </row>
    <row r="132">
      <c r="A132" s="20" t="n">
        <v>129</v>
      </c>
      <c r="B132" s="20" t="str"/>
      <c r="C132" s="20" t="str"/>
      <c r="D132" s="20" t="str"/>
      <c r="E132" s="20" t="str"/>
      <c r="F132" s="20" t="inlineStr">
        <is>
          <t>PENDING</t>
        </is>
      </c>
      <c r="G132" s="20" t="inlineStr">
        <is>
          <t>PENDING</t>
        </is>
      </c>
      <c r="H132" s="20" t="inlineStr">
        <is>
          <t>PENDING</t>
        </is>
      </c>
      <c r="I132" s="20" t="inlineStr">
        <is>
          <t>PENDING</t>
        </is>
      </c>
      <c r="J132" s="20" t="inlineStr">
        <is>
          <t>PENDING</t>
        </is>
      </c>
      <c r="K132" s="20" t="inlineStr">
        <is>
          <t>待确认</t>
        </is>
      </c>
      <c r="L132" s="20">
        <f>IF(B132="","",IF(OR(F132="FAIL",K132="泄漏"),"DROP",IF(G132="FAIL","RELABEL",IF(OR(H132="FAIL",I132="FAIL",J132="FAIL"),"REWORK",IF(COUNTIF(F132:J132,"PENDING")&gt;0,"PENDING","REUSE")))))</f>
        <v/>
      </c>
      <c r="M132" s="20" t="inlineStr">
        <is>
          <t>PENDING</t>
        </is>
      </c>
      <c r="N132" s="20" t="str"/>
      <c r="O132" s="20" t="str"/>
      <c r="P132" s="20" t="str"/>
      <c r="Q132" s="20" t="inlineStr">
        <is>
          <t>待确认</t>
        </is>
      </c>
      <c r="R132" s="20" t="inlineStr">
        <is>
          <t>未开始</t>
        </is>
      </c>
      <c r="S132">
        <f>IF(B132="","",IF(E132="已暴露","DEV_REG_ONLY","ANY"))</f>
        <v/>
      </c>
    </row>
    <row r="133">
      <c r="A133" s="20" t="n">
        <v>130</v>
      </c>
      <c r="B133" s="20" t="str"/>
      <c r="C133" s="20" t="str"/>
      <c r="D133" s="20" t="str"/>
      <c r="E133" s="20" t="str"/>
      <c r="F133" s="20" t="inlineStr">
        <is>
          <t>PENDING</t>
        </is>
      </c>
      <c r="G133" s="20" t="inlineStr">
        <is>
          <t>PENDING</t>
        </is>
      </c>
      <c r="H133" s="20" t="inlineStr">
        <is>
          <t>PENDING</t>
        </is>
      </c>
      <c r="I133" s="20" t="inlineStr">
        <is>
          <t>PENDING</t>
        </is>
      </c>
      <c r="J133" s="20" t="inlineStr">
        <is>
          <t>PENDING</t>
        </is>
      </c>
      <c r="K133" s="20" t="inlineStr">
        <is>
          <t>待确认</t>
        </is>
      </c>
      <c r="L133" s="20">
        <f>IF(B133="","",IF(OR(F133="FAIL",K133="泄漏"),"DROP",IF(G133="FAIL","RELABEL",IF(OR(H133="FAIL",I133="FAIL",J133="FAIL"),"REWORK",IF(COUNTIF(F133:J133,"PENDING")&gt;0,"PENDING","REUSE")))))</f>
        <v/>
      </c>
      <c r="M133" s="20" t="inlineStr">
        <is>
          <t>PENDING</t>
        </is>
      </c>
      <c r="N133" s="20" t="str"/>
      <c r="O133" s="20" t="str"/>
      <c r="P133" s="20" t="str"/>
      <c r="Q133" s="20" t="inlineStr">
        <is>
          <t>待确认</t>
        </is>
      </c>
      <c r="R133" s="20" t="inlineStr">
        <is>
          <t>未开始</t>
        </is>
      </c>
      <c r="S133">
        <f>IF(B133="","",IF(E133="已暴露","DEV_REG_ONLY","ANY"))</f>
        <v/>
      </c>
    </row>
    <row r="134">
      <c r="A134" s="20" t="n">
        <v>131</v>
      </c>
      <c r="B134" s="20" t="str"/>
      <c r="C134" s="20" t="str"/>
      <c r="D134" s="20" t="str"/>
      <c r="E134" s="20" t="str"/>
      <c r="F134" s="20" t="inlineStr">
        <is>
          <t>PENDING</t>
        </is>
      </c>
      <c r="G134" s="20" t="inlineStr">
        <is>
          <t>PENDING</t>
        </is>
      </c>
      <c r="H134" s="20" t="inlineStr">
        <is>
          <t>PENDING</t>
        </is>
      </c>
      <c r="I134" s="20" t="inlineStr">
        <is>
          <t>PENDING</t>
        </is>
      </c>
      <c r="J134" s="20" t="inlineStr">
        <is>
          <t>PENDING</t>
        </is>
      </c>
      <c r="K134" s="20" t="inlineStr">
        <is>
          <t>待确认</t>
        </is>
      </c>
      <c r="L134" s="20">
        <f>IF(B134="","",IF(OR(F134="FAIL",K134="泄漏"),"DROP",IF(G134="FAIL","RELABEL",IF(OR(H134="FAIL",I134="FAIL",J134="FAIL"),"REWORK",IF(COUNTIF(F134:J134,"PENDING")&gt;0,"PENDING","REUSE")))))</f>
        <v/>
      </c>
      <c r="M134" s="20" t="inlineStr">
        <is>
          <t>PENDING</t>
        </is>
      </c>
      <c r="N134" s="20" t="str"/>
      <c r="O134" s="20" t="str"/>
      <c r="P134" s="20" t="str"/>
      <c r="Q134" s="20" t="inlineStr">
        <is>
          <t>待确认</t>
        </is>
      </c>
      <c r="R134" s="20" t="inlineStr">
        <is>
          <t>未开始</t>
        </is>
      </c>
      <c r="S134">
        <f>IF(B134="","",IF(E134="已暴露","DEV_REG_ONLY","ANY"))</f>
        <v/>
      </c>
    </row>
    <row r="135">
      <c r="A135" s="20" t="n">
        <v>132</v>
      </c>
      <c r="B135" s="20" t="str"/>
      <c r="C135" s="20" t="str"/>
      <c r="D135" s="20" t="str"/>
      <c r="E135" s="20" t="str"/>
      <c r="F135" s="20" t="inlineStr">
        <is>
          <t>PENDING</t>
        </is>
      </c>
      <c r="G135" s="20" t="inlineStr">
        <is>
          <t>PENDING</t>
        </is>
      </c>
      <c r="H135" s="20" t="inlineStr">
        <is>
          <t>PENDING</t>
        </is>
      </c>
      <c r="I135" s="20" t="inlineStr">
        <is>
          <t>PENDING</t>
        </is>
      </c>
      <c r="J135" s="20" t="inlineStr">
        <is>
          <t>PENDING</t>
        </is>
      </c>
      <c r="K135" s="20" t="inlineStr">
        <is>
          <t>待确认</t>
        </is>
      </c>
      <c r="L135" s="20">
        <f>IF(B135="","",IF(OR(F135="FAIL",K135="泄漏"),"DROP",IF(G135="FAIL","RELABEL",IF(OR(H135="FAIL",I135="FAIL",J135="FAIL"),"REWORK",IF(COUNTIF(F135:J135,"PENDING")&gt;0,"PENDING","REUSE")))))</f>
        <v/>
      </c>
      <c r="M135" s="20" t="inlineStr">
        <is>
          <t>PENDING</t>
        </is>
      </c>
      <c r="N135" s="20" t="str"/>
      <c r="O135" s="20" t="str"/>
      <c r="P135" s="20" t="str"/>
      <c r="Q135" s="20" t="inlineStr">
        <is>
          <t>待确认</t>
        </is>
      </c>
      <c r="R135" s="20" t="inlineStr">
        <is>
          <t>未开始</t>
        </is>
      </c>
      <c r="S135">
        <f>IF(B135="","",IF(E135="已暴露","DEV_REG_ONLY","ANY"))</f>
        <v/>
      </c>
    </row>
    <row r="136">
      <c r="A136" s="20" t="n">
        <v>133</v>
      </c>
      <c r="B136" s="20" t="str"/>
      <c r="C136" s="20" t="str"/>
      <c r="D136" s="20" t="str"/>
      <c r="E136" s="20" t="str"/>
      <c r="F136" s="20" t="inlineStr">
        <is>
          <t>PENDING</t>
        </is>
      </c>
      <c r="G136" s="20" t="inlineStr">
        <is>
          <t>PENDING</t>
        </is>
      </c>
      <c r="H136" s="20" t="inlineStr">
        <is>
          <t>PENDING</t>
        </is>
      </c>
      <c r="I136" s="20" t="inlineStr">
        <is>
          <t>PENDING</t>
        </is>
      </c>
      <c r="J136" s="20" t="inlineStr">
        <is>
          <t>PENDING</t>
        </is>
      </c>
      <c r="K136" s="20" t="inlineStr">
        <is>
          <t>待确认</t>
        </is>
      </c>
      <c r="L136" s="20">
        <f>IF(B136="","",IF(OR(F136="FAIL",K136="泄漏"),"DROP",IF(G136="FAIL","RELABEL",IF(OR(H136="FAIL",I136="FAIL",J136="FAIL"),"REWORK",IF(COUNTIF(F136:J136,"PENDING")&gt;0,"PENDING","REUSE")))))</f>
        <v/>
      </c>
      <c r="M136" s="20" t="inlineStr">
        <is>
          <t>PENDING</t>
        </is>
      </c>
      <c r="N136" s="20" t="str"/>
      <c r="O136" s="20" t="str"/>
      <c r="P136" s="20" t="str"/>
      <c r="Q136" s="20" t="inlineStr">
        <is>
          <t>待确认</t>
        </is>
      </c>
      <c r="R136" s="20" t="inlineStr">
        <is>
          <t>未开始</t>
        </is>
      </c>
      <c r="S136">
        <f>IF(B136="","",IF(E136="已暴露","DEV_REG_ONLY","ANY"))</f>
        <v/>
      </c>
    </row>
    <row r="137">
      <c r="A137" s="20" t="n">
        <v>134</v>
      </c>
      <c r="B137" s="20" t="str"/>
      <c r="C137" s="20" t="str"/>
      <c r="D137" s="20" t="str"/>
      <c r="E137" s="20" t="str"/>
      <c r="F137" s="20" t="inlineStr">
        <is>
          <t>PENDING</t>
        </is>
      </c>
      <c r="G137" s="20" t="inlineStr">
        <is>
          <t>PENDING</t>
        </is>
      </c>
      <c r="H137" s="20" t="inlineStr">
        <is>
          <t>PENDING</t>
        </is>
      </c>
      <c r="I137" s="20" t="inlineStr">
        <is>
          <t>PENDING</t>
        </is>
      </c>
      <c r="J137" s="20" t="inlineStr">
        <is>
          <t>PENDING</t>
        </is>
      </c>
      <c r="K137" s="20" t="inlineStr">
        <is>
          <t>待确认</t>
        </is>
      </c>
      <c r="L137" s="20">
        <f>IF(B137="","",IF(OR(F137="FAIL",K137="泄漏"),"DROP",IF(G137="FAIL","RELABEL",IF(OR(H137="FAIL",I137="FAIL",J137="FAIL"),"REWORK",IF(COUNTIF(F137:J137,"PENDING")&gt;0,"PENDING","REUSE")))))</f>
        <v/>
      </c>
      <c r="M137" s="20" t="inlineStr">
        <is>
          <t>PENDING</t>
        </is>
      </c>
      <c r="N137" s="20" t="str"/>
      <c r="O137" s="20" t="str"/>
      <c r="P137" s="20" t="str"/>
      <c r="Q137" s="20" t="inlineStr">
        <is>
          <t>待确认</t>
        </is>
      </c>
      <c r="R137" s="20" t="inlineStr">
        <is>
          <t>未开始</t>
        </is>
      </c>
      <c r="S137">
        <f>IF(B137="","",IF(E137="已暴露","DEV_REG_ONLY","ANY"))</f>
        <v/>
      </c>
    </row>
    <row r="138">
      <c r="A138" s="20" t="n">
        <v>135</v>
      </c>
      <c r="B138" s="20" t="str"/>
      <c r="C138" s="20" t="str"/>
      <c r="D138" s="20" t="str"/>
      <c r="E138" s="20" t="str"/>
      <c r="F138" s="20" t="inlineStr">
        <is>
          <t>PENDING</t>
        </is>
      </c>
      <c r="G138" s="20" t="inlineStr">
        <is>
          <t>PENDING</t>
        </is>
      </c>
      <c r="H138" s="20" t="inlineStr">
        <is>
          <t>PENDING</t>
        </is>
      </c>
      <c r="I138" s="20" t="inlineStr">
        <is>
          <t>PENDING</t>
        </is>
      </c>
      <c r="J138" s="20" t="inlineStr">
        <is>
          <t>PENDING</t>
        </is>
      </c>
      <c r="K138" s="20" t="inlineStr">
        <is>
          <t>待确认</t>
        </is>
      </c>
      <c r="L138" s="20">
        <f>IF(B138="","",IF(OR(F138="FAIL",K138="泄漏"),"DROP",IF(G138="FAIL","RELABEL",IF(OR(H138="FAIL",I138="FAIL",J138="FAIL"),"REWORK",IF(COUNTIF(F138:J138,"PENDING")&gt;0,"PENDING","REUSE")))))</f>
        <v/>
      </c>
      <c r="M138" s="20" t="inlineStr">
        <is>
          <t>PENDING</t>
        </is>
      </c>
      <c r="N138" s="20" t="str"/>
      <c r="O138" s="20" t="str"/>
      <c r="P138" s="20" t="str"/>
      <c r="Q138" s="20" t="inlineStr">
        <is>
          <t>待确认</t>
        </is>
      </c>
      <c r="R138" s="20" t="inlineStr">
        <is>
          <t>未开始</t>
        </is>
      </c>
      <c r="S138">
        <f>IF(B138="","",IF(E138="已暴露","DEV_REG_ONLY","ANY"))</f>
        <v/>
      </c>
    </row>
    <row r="139">
      <c r="A139" s="20" t="n">
        <v>136</v>
      </c>
      <c r="B139" s="20" t="str"/>
      <c r="C139" s="20" t="str"/>
      <c r="D139" s="20" t="str"/>
      <c r="E139" s="20" t="str"/>
      <c r="F139" s="20" t="inlineStr">
        <is>
          <t>PENDING</t>
        </is>
      </c>
      <c r="G139" s="20" t="inlineStr">
        <is>
          <t>PENDING</t>
        </is>
      </c>
      <c r="H139" s="20" t="inlineStr">
        <is>
          <t>PENDING</t>
        </is>
      </c>
      <c r="I139" s="20" t="inlineStr">
        <is>
          <t>PENDING</t>
        </is>
      </c>
      <c r="J139" s="20" t="inlineStr">
        <is>
          <t>PENDING</t>
        </is>
      </c>
      <c r="K139" s="20" t="inlineStr">
        <is>
          <t>待确认</t>
        </is>
      </c>
      <c r="L139" s="20">
        <f>IF(B139="","",IF(OR(F139="FAIL",K139="泄漏"),"DROP",IF(G139="FAIL","RELABEL",IF(OR(H139="FAIL",I139="FAIL",J139="FAIL"),"REWORK",IF(COUNTIF(F139:J139,"PENDING")&gt;0,"PENDING","REUSE")))))</f>
        <v/>
      </c>
      <c r="M139" s="20" t="inlineStr">
        <is>
          <t>PENDING</t>
        </is>
      </c>
      <c r="N139" s="20" t="str"/>
      <c r="O139" s="20" t="str"/>
      <c r="P139" s="20" t="str"/>
      <c r="Q139" s="20" t="inlineStr">
        <is>
          <t>待确认</t>
        </is>
      </c>
      <c r="R139" s="20" t="inlineStr">
        <is>
          <t>未开始</t>
        </is>
      </c>
      <c r="S139">
        <f>IF(B139="","",IF(E139="已暴露","DEV_REG_ONLY","ANY"))</f>
        <v/>
      </c>
    </row>
    <row r="140">
      <c r="A140" s="20" t="n">
        <v>137</v>
      </c>
      <c r="B140" s="20" t="str"/>
      <c r="C140" s="20" t="str"/>
      <c r="D140" s="20" t="str"/>
      <c r="E140" s="20" t="str"/>
      <c r="F140" s="20" t="inlineStr">
        <is>
          <t>PENDING</t>
        </is>
      </c>
      <c r="G140" s="20" t="inlineStr">
        <is>
          <t>PENDING</t>
        </is>
      </c>
      <c r="H140" s="20" t="inlineStr">
        <is>
          <t>PENDING</t>
        </is>
      </c>
      <c r="I140" s="20" t="inlineStr">
        <is>
          <t>PENDING</t>
        </is>
      </c>
      <c r="J140" s="20" t="inlineStr">
        <is>
          <t>PENDING</t>
        </is>
      </c>
      <c r="K140" s="20" t="inlineStr">
        <is>
          <t>待确认</t>
        </is>
      </c>
      <c r="L140" s="20">
        <f>IF(B140="","",IF(OR(F140="FAIL",K140="泄漏"),"DROP",IF(G140="FAIL","RELABEL",IF(OR(H140="FAIL",I140="FAIL",J140="FAIL"),"REWORK",IF(COUNTIF(F140:J140,"PENDING")&gt;0,"PENDING","REUSE")))))</f>
        <v/>
      </c>
      <c r="M140" s="20" t="inlineStr">
        <is>
          <t>PENDING</t>
        </is>
      </c>
      <c r="N140" s="20" t="str"/>
      <c r="O140" s="20" t="str"/>
      <c r="P140" s="20" t="str"/>
      <c r="Q140" s="20" t="inlineStr">
        <is>
          <t>待确认</t>
        </is>
      </c>
      <c r="R140" s="20" t="inlineStr">
        <is>
          <t>未开始</t>
        </is>
      </c>
      <c r="S140">
        <f>IF(B140="","",IF(E140="已暴露","DEV_REG_ONLY","ANY"))</f>
        <v/>
      </c>
    </row>
    <row r="141">
      <c r="A141" s="20" t="n">
        <v>138</v>
      </c>
      <c r="B141" s="20" t="str"/>
      <c r="C141" s="20" t="str"/>
      <c r="D141" s="20" t="str"/>
      <c r="E141" s="20" t="str"/>
      <c r="F141" s="20" t="inlineStr">
        <is>
          <t>PENDING</t>
        </is>
      </c>
      <c r="G141" s="20" t="inlineStr">
        <is>
          <t>PENDING</t>
        </is>
      </c>
      <c r="H141" s="20" t="inlineStr">
        <is>
          <t>PENDING</t>
        </is>
      </c>
      <c r="I141" s="20" t="inlineStr">
        <is>
          <t>PENDING</t>
        </is>
      </c>
      <c r="J141" s="20" t="inlineStr">
        <is>
          <t>PENDING</t>
        </is>
      </c>
      <c r="K141" s="20" t="inlineStr">
        <is>
          <t>待确认</t>
        </is>
      </c>
      <c r="L141" s="20">
        <f>IF(B141="","",IF(OR(F141="FAIL",K141="泄漏"),"DROP",IF(G141="FAIL","RELABEL",IF(OR(H141="FAIL",I141="FAIL",J141="FAIL"),"REWORK",IF(COUNTIF(F141:J141,"PENDING")&gt;0,"PENDING","REUSE")))))</f>
        <v/>
      </c>
      <c r="M141" s="20" t="inlineStr">
        <is>
          <t>PENDING</t>
        </is>
      </c>
      <c r="N141" s="20" t="str"/>
      <c r="O141" s="20" t="str"/>
      <c r="P141" s="20" t="str"/>
      <c r="Q141" s="20" t="inlineStr">
        <is>
          <t>待确认</t>
        </is>
      </c>
      <c r="R141" s="20" t="inlineStr">
        <is>
          <t>未开始</t>
        </is>
      </c>
      <c r="S141">
        <f>IF(B141="","",IF(E141="已暴露","DEV_REG_ONLY","ANY"))</f>
        <v/>
      </c>
    </row>
    <row r="142">
      <c r="A142" s="20" t="n">
        <v>139</v>
      </c>
      <c r="B142" s="20" t="str"/>
      <c r="C142" s="20" t="str"/>
      <c r="D142" s="20" t="str"/>
      <c r="E142" s="20" t="str"/>
      <c r="F142" s="20" t="inlineStr">
        <is>
          <t>PENDING</t>
        </is>
      </c>
      <c r="G142" s="20" t="inlineStr">
        <is>
          <t>PENDING</t>
        </is>
      </c>
      <c r="H142" s="20" t="inlineStr">
        <is>
          <t>PENDING</t>
        </is>
      </c>
      <c r="I142" s="20" t="inlineStr">
        <is>
          <t>PENDING</t>
        </is>
      </c>
      <c r="J142" s="20" t="inlineStr">
        <is>
          <t>PENDING</t>
        </is>
      </c>
      <c r="K142" s="20" t="inlineStr">
        <is>
          <t>待确认</t>
        </is>
      </c>
      <c r="L142" s="20">
        <f>IF(B142="","",IF(OR(F142="FAIL",K142="泄漏"),"DROP",IF(G142="FAIL","RELABEL",IF(OR(H142="FAIL",I142="FAIL",J142="FAIL"),"REWORK",IF(COUNTIF(F142:J142,"PENDING")&gt;0,"PENDING","REUSE")))))</f>
        <v/>
      </c>
      <c r="M142" s="20" t="inlineStr">
        <is>
          <t>PENDING</t>
        </is>
      </c>
      <c r="N142" s="20" t="str"/>
      <c r="O142" s="20" t="str"/>
      <c r="P142" s="20" t="str"/>
      <c r="Q142" s="20" t="inlineStr">
        <is>
          <t>待确认</t>
        </is>
      </c>
      <c r="R142" s="20" t="inlineStr">
        <is>
          <t>未开始</t>
        </is>
      </c>
      <c r="S142">
        <f>IF(B142="","",IF(E142="已暴露","DEV_REG_ONLY","ANY"))</f>
        <v/>
      </c>
    </row>
    <row r="143">
      <c r="A143" s="20" t="n">
        <v>140</v>
      </c>
      <c r="B143" s="20" t="str"/>
      <c r="C143" s="20" t="str"/>
      <c r="D143" s="20" t="str"/>
      <c r="E143" s="20" t="str"/>
      <c r="F143" s="20" t="inlineStr">
        <is>
          <t>PENDING</t>
        </is>
      </c>
      <c r="G143" s="20" t="inlineStr">
        <is>
          <t>PENDING</t>
        </is>
      </c>
      <c r="H143" s="20" t="inlineStr">
        <is>
          <t>PENDING</t>
        </is>
      </c>
      <c r="I143" s="20" t="inlineStr">
        <is>
          <t>PENDING</t>
        </is>
      </c>
      <c r="J143" s="20" t="inlineStr">
        <is>
          <t>PENDING</t>
        </is>
      </c>
      <c r="K143" s="20" t="inlineStr">
        <is>
          <t>待确认</t>
        </is>
      </c>
      <c r="L143" s="20">
        <f>IF(B143="","",IF(OR(F143="FAIL",K143="泄漏"),"DROP",IF(G143="FAIL","RELABEL",IF(OR(H143="FAIL",I143="FAIL",J143="FAIL"),"REWORK",IF(COUNTIF(F143:J143,"PENDING")&gt;0,"PENDING","REUSE")))))</f>
        <v/>
      </c>
      <c r="M143" s="20" t="inlineStr">
        <is>
          <t>PENDING</t>
        </is>
      </c>
      <c r="N143" s="20" t="str"/>
      <c r="O143" s="20" t="str"/>
      <c r="P143" s="20" t="str"/>
      <c r="Q143" s="20" t="inlineStr">
        <is>
          <t>待确认</t>
        </is>
      </c>
      <c r="R143" s="20" t="inlineStr">
        <is>
          <t>未开始</t>
        </is>
      </c>
      <c r="S143">
        <f>IF(B143="","",IF(E143="已暴露","DEV_REG_ONLY","ANY"))</f>
        <v/>
      </c>
    </row>
    <row r="144">
      <c r="A144" s="20" t="n">
        <v>141</v>
      </c>
      <c r="B144" s="20" t="str"/>
      <c r="C144" s="20" t="str"/>
      <c r="D144" s="20" t="str"/>
      <c r="E144" s="20" t="str"/>
      <c r="F144" s="20" t="inlineStr">
        <is>
          <t>PENDING</t>
        </is>
      </c>
      <c r="G144" s="20" t="inlineStr">
        <is>
          <t>PENDING</t>
        </is>
      </c>
      <c r="H144" s="20" t="inlineStr">
        <is>
          <t>PENDING</t>
        </is>
      </c>
      <c r="I144" s="20" t="inlineStr">
        <is>
          <t>PENDING</t>
        </is>
      </c>
      <c r="J144" s="20" t="inlineStr">
        <is>
          <t>PENDING</t>
        </is>
      </c>
      <c r="K144" s="20" t="inlineStr">
        <is>
          <t>待确认</t>
        </is>
      </c>
      <c r="L144" s="20">
        <f>IF(B144="","",IF(OR(F144="FAIL",K144="泄漏"),"DROP",IF(G144="FAIL","RELABEL",IF(OR(H144="FAIL",I144="FAIL",J144="FAIL"),"REWORK",IF(COUNTIF(F144:J144,"PENDING")&gt;0,"PENDING","REUSE")))))</f>
        <v/>
      </c>
      <c r="M144" s="20" t="inlineStr">
        <is>
          <t>PENDING</t>
        </is>
      </c>
      <c r="N144" s="20" t="str"/>
      <c r="O144" s="20" t="str"/>
      <c r="P144" s="20" t="str"/>
      <c r="Q144" s="20" t="inlineStr">
        <is>
          <t>待确认</t>
        </is>
      </c>
      <c r="R144" s="20" t="inlineStr">
        <is>
          <t>未开始</t>
        </is>
      </c>
      <c r="S144">
        <f>IF(B144="","",IF(E144="已暴露","DEV_REG_ONLY","ANY"))</f>
        <v/>
      </c>
    </row>
    <row r="145">
      <c r="A145" s="20" t="n">
        <v>142</v>
      </c>
      <c r="B145" s="20" t="str"/>
      <c r="C145" s="20" t="str"/>
      <c r="D145" s="20" t="str"/>
      <c r="E145" s="20" t="str"/>
      <c r="F145" s="20" t="inlineStr">
        <is>
          <t>PENDING</t>
        </is>
      </c>
      <c r="G145" s="20" t="inlineStr">
        <is>
          <t>PENDING</t>
        </is>
      </c>
      <c r="H145" s="20" t="inlineStr">
        <is>
          <t>PENDING</t>
        </is>
      </c>
      <c r="I145" s="20" t="inlineStr">
        <is>
          <t>PENDING</t>
        </is>
      </c>
      <c r="J145" s="20" t="inlineStr">
        <is>
          <t>PENDING</t>
        </is>
      </c>
      <c r="K145" s="20" t="inlineStr">
        <is>
          <t>待确认</t>
        </is>
      </c>
      <c r="L145" s="20">
        <f>IF(B145="","",IF(OR(F145="FAIL",K145="泄漏"),"DROP",IF(G145="FAIL","RELABEL",IF(OR(H145="FAIL",I145="FAIL",J145="FAIL"),"REWORK",IF(COUNTIF(F145:J145,"PENDING")&gt;0,"PENDING","REUSE")))))</f>
        <v/>
      </c>
      <c r="M145" s="20" t="inlineStr">
        <is>
          <t>PENDING</t>
        </is>
      </c>
      <c r="N145" s="20" t="str"/>
      <c r="O145" s="20" t="str"/>
      <c r="P145" s="20" t="str"/>
      <c r="Q145" s="20" t="inlineStr">
        <is>
          <t>待确认</t>
        </is>
      </c>
      <c r="R145" s="20" t="inlineStr">
        <is>
          <t>未开始</t>
        </is>
      </c>
      <c r="S145">
        <f>IF(B145="","",IF(E145="已暴露","DEV_REG_ONLY","ANY"))</f>
        <v/>
      </c>
    </row>
    <row r="146">
      <c r="A146" s="20" t="n">
        <v>143</v>
      </c>
      <c r="B146" s="20" t="str"/>
      <c r="C146" s="20" t="str"/>
      <c r="D146" s="20" t="str"/>
      <c r="E146" s="20" t="str"/>
      <c r="F146" s="20" t="inlineStr">
        <is>
          <t>PENDING</t>
        </is>
      </c>
      <c r="G146" s="20" t="inlineStr">
        <is>
          <t>PENDING</t>
        </is>
      </c>
      <c r="H146" s="20" t="inlineStr">
        <is>
          <t>PENDING</t>
        </is>
      </c>
      <c r="I146" s="20" t="inlineStr">
        <is>
          <t>PENDING</t>
        </is>
      </c>
      <c r="J146" s="20" t="inlineStr">
        <is>
          <t>PENDING</t>
        </is>
      </c>
      <c r="K146" s="20" t="inlineStr">
        <is>
          <t>待确认</t>
        </is>
      </c>
      <c r="L146" s="20">
        <f>IF(B146="","",IF(OR(F146="FAIL",K146="泄漏"),"DROP",IF(G146="FAIL","RELABEL",IF(OR(H146="FAIL",I146="FAIL",J146="FAIL"),"REWORK",IF(COUNTIF(F146:J146,"PENDING")&gt;0,"PENDING","REUSE")))))</f>
        <v/>
      </c>
      <c r="M146" s="20" t="inlineStr">
        <is>
          <t>PENDING</t>
        </is>
      </c>
      <c r="N146" s="20" t="str"/>
      <c r="O146" s="20" t="str"/>
      <c r="P146" s="20" t="str"/>
      <c r="Q146" s="20" t="inlineStr">
        <is>
          <t>待确认</t>
        </is>
      </c>
      <c r="R146" s="20" t="inlineStr">
        <is>
          <t>未开始</t>
        </is>
      </c>
      <c r="S146">
        <f>IF(B146="","",IF(E146="已暴露","DEV_REG_ONLY","ANY"))</f>
        <v/>
      </c>
    </row>
    <row r="147">
      <c r="A147" s="20" t="n">
        <v>144</v>
      </c>
      <c r="B147" s="20" t="str"/>
      <c r="C147" s="20" t="str"/>
      <c r="D147" s="20" t="str"/>
      <c r="E147" s="20" t="str"/>
      <c r="F147" s="20" t="inlineStr">
        <is>
          <t>PENDING</t>
        </is>
      </c>
      <c r="G147" s="20" t="inlineStr">
        <is>
          <t>PENDING</t>
        </is>
      </c>
      <c r="H147" s="20" t="inlineStr">
        <is>
          <t>PENDING</t>
        </is>
      </c>
      <c r="I147" s="20" t="inlineStr">
        <is>
          <t>PENDING</t>
        </is>
      </c>
      <c r="J147" s="20" t="inlineStr">
        <is>
          <t>PENDING</t>
        </is>
      </c>
      <c r="K147" s="20" t="inlineStr">
        <is>
          <t>待确认</t>
        </is>
      </c>
      <c r="L147" s="20">
        <f>IF(B147="","",IF(OR(F147="FAIL",K147="泄漏"),"DROP",IF(G147="FAIL","RELABEL",IF(OR(H147="FAIL",I147="FAIL",J147="FAIL"),"REWORK",IF(COUNTIF(F147:J147,"PENDING")&gt;0,"PENDING","REUSE")))))</f>
        <v/>
      </c>
      <c r="M147" s="20" t="inlineStr">
        <is>
          <t>PENDING</t>
        </is>
      </c>
      <c r="N147" s="20" t="str"/>
      <c r="O147" s="20" t="str"/>
      <c r="P147" s="20" t="str"/>
      <c r="Q147" s="20" t="inlineStr">
        <is>
          <t>待确认</t>
        </is>
      </c>
      <c r="R147" s="20" t="inlineStr">
        <is>
          <t>未开始</t>
        </is>
      </c>
      <c r="S147">
        <f>IF(B147="","",IF(E147="已暴露","DEV_REG_ONLY","ANY"))</f>
        <v/>
      </c>
    </row>
    <row r="148">
      <c r="A148" s="20" t="n">
        <v>145</v>
      </c>
      <c r="B148" s="20" t="str"/>
      <c r="C148" s="20" t="str"/>
      <c r="D148" s="20" t="str"/>
      <c r="E148" s="20" t="str"/>
      <c r="F148" s="20" t="inlineStr">
        <is>
          <t>PENDING</t>
        </is>
      </c>
      <c r="G148" s="20" t="inlineStr">
        <is>
          <t>PENDING</t>
        </is>
      </c>
      <c r="H148" s="20" t="inlineStr">
        <is>
          <t>PENDING</t>
        </is>
      </c>
      <c r="I148" s="20" t="inlineStr">
        <is>
          <t>PENDING</t>
        </is>
      </c>
      <c r="J148" s="20" t="inlineStr">
        <is>
          <t>PENDING</t>
        </is>
      </c>
      <c r="K148" s="20" t="inlineStr">
        <is>
          <t>待确认</t>
        </is>
      </c>
      <c r="L148" s="20">
        <f>IF(B148="","",IF(OR(F148="FAIL",K148="泄漏"),"DROP",IF(G148="FAIL","RELABEL",IF(OR(H148="FAIL",I148="FAIL",J148="FAIL"),"REWORK",IF(COUNTIF(F148:J148,"PENDING")&gt;0,"PENDING","REUSE")))))</f>
        <v/>
      </c>
      <c r="M148" s="20" t="inlineStr">
        <is>
          <t>PENDING</t>
        </is>
      </c>
      <c r="N148" s="20" t="str"/>
      <c r="O148" s="20" t="str"/>
      <c r="P148" s="20" t="str"/>
      <c r="Q148" s="20" t="inlineStr">
        <is>
          <t>待确认</t>
        </is>
      </c>
      <c r="R148" s="20" t="inlineStr">
        <is>
          <t>未开始</t>
        </is>
      </c>
      <c r="S148">
        <f>IF(B148="","",IF(E148="已暴露","DEV_REG_ONLY","ANY"))</f>
        <v/>
      </c>
    </row>
    <row r="149">
      <c r="A149" s="20" t="n">
        <v>146</v>
      </c>
      <c r="B149" s="20" t="str"/>
      <c r="C149" s="20" t="str"/>
      <c r="D149" s="20" t="str"/>
      <c r="E149" s="20" t="str"/>
      <c r="F149" s="20" t="inlineStr">
        <is>
          <t>PENDING</t>
        </is>
      </c>
      <c r="G149" s="20" t="inlineStr">
        <is>
          <t>PENDING</t>
        </is>
      </c>
      <c r="H149" s="20" t="inlineStr">
        <is>
          <t>PENDING</t>
        </is>
      </c>
      <c r="I149" s="20" t="inlineStr">
        <is>
          <t>PENDING</t>
        </is>
      </c>
      <c r="J149" s="20" t="inlineStr">
        <is>
          <t>PENDING</t>
        </is>
      </c>
      <c r="K149" s="20" t="inlineStr">
        <is>
          <t>待确认</t>
        </is>
      </c>
      <c r="L149" s="20">
        <f>IF(B149="","",IF(OR(F149="FAIL",K149="泄漏"),"DROP",IF(G149="FAIL","RELABEL",IF(OR(H149="FAIL",I149="FAIL",J149="FAIL"),"REWORK",IF(COUNTIF(F149:J149,"PENDING")&gt;0,"PENDING","REUSE")))))</f>
        <v/>
      </c>
      <c r="M149" s="20" t="inlineStr">
        <is>
          <t>PENDING</t>
        </is>
      </c>
      <c r="N149" s="20" t="str"/>
      <c r="O149" s="20" t="str"/>
      <c r="P149" s="20" t="str"/>
      <c r="Q149" s="20" t="inlineStr">
        <is>
          <t>待确认</t>
        </is>
      </c>
      <c r="R149" s="20" t="inlineStr">
        <is>
          <t>未开始</t>
        </is>
      </c>
      <c r="S149">
        <f>IF(B149="","",IF(E149="已暴露","DEV_REG_ONLY","ANY"))</f>
        <v/>
      </c>
    </row>
    <row r="150">
      <c r="A150" s="20" t="n">
        <v>147</v>
      </c>
      <c r="B150" s="20" t="str"/>
      <c r="C150" s="20" t="str"/>
      <c r="D150" s="20" t="str"/>
      <c r="E150" s="20" t="str"/>
      <c r="F150" s="20" t="inlineStr">
        <is>
          <t>PENDING</t>
        </is>
      </c>
      <c r="G150" s="20" t="inlineStr">
        <is>
          <t>PENDING</t>
        </is>
      </c>
      <c r="H150" s="20" t="inlineStr">
        <is>
          <t>PENDING</t>
        </is>
      </c>
      <c r="I150" s="20" t="inlineStr">
        <is>
          <t>PENDING</t>
        </is>
      </c>
      <c r="J150" s="20" t="inlineStr">
        <is>
          <t>PENDING</t>
        </is>
      </c>
      <c r="K150" s="20" t="inlineStr">
        <is>
          <t>待确认</t>
        </is>
      </c>
      <c r="L150" s="20">
        <f>IF(B150="","",IF(OR(F150="FAIL",K150="泄漏"),"DROP",IF(G150="FAIL","RELABEL",IF(OR(H150="FAIL",I150="FAIL",J150="FAIL"),"REWORK",IF(COUNTIF(F150:J150,"PENDING")&gt;0,"PENDING","REUSE")))))</f>
        <v/>
      </c>
      <c r="M150" s="20" t="inlineStr">
        <is>
          <t>PENDING</t>
        </is>
      </c>
      <c r="N150" s="20" t="str"/>
      <c r="O150" s="20" t="str"/>
      <c r="P150" s="20" t="str"/>
      <c r="Q150" s="20" t="inlineStr">
        <is>
          <t>待确认</t>
        </is>
      </c>
      <c r="R150" s="20" t="inlineStr">
        <is>
          <t>未开始</t>
        </is>
      </c>
      <c r="S150">
        <f>IF(B150="","",IF(E150="已暴露","DEV_REG_ONLY","ANY"))</f>
        <v/>
      </c>
    </row>
    <row r="151">
      <c r="A151" s="20" t="n">
        <v>148</v>
      </c>
      <c r="B151" s="20" t="str"/>
      <c r="C151" s="20" t="str"/>
      <c r="D151" s="20" t="str"/>
      <c r="E151" s="20" t="str"/>
      <c r="F151" s="20" t="inlineStr">
        <is>
          <t>PENDING</t>
        </is>
      </c>
      <c r="G151" s="20" t="inlineStr">
        <is>
          <t>PENDING</t>
        </is>
      </c>
      <c r="H151" s="20" t="inlineStr">
        <is>
          <t>PENDING</t>
        </is>
      </c>
      <c r="I151" s="20" t="inlineStr">
        <is>
          <t>PENDING</t>
        </is>
      </c>
      <c r="J151" s="20" t="inlineStr">
        <is>
          <t>PENDING</t>
        </is>
      </c>
      <c r="K151" s="20" t="inlineStr">
        <is>
          <t>待确认</t>
        </is>
      </c>
      <c r="L151" s="20">
        <f>IF(B151="","",IF(OR(F151="FAIL",K151="泄漏"),"DROP",IF(G151="FAIL","RELABEL",IF(OR(H151="FAIL",I151="FAIL",J151="FAIL"),"REWORK",IF(COUNTIF(F151:J151,"PENDING")&gt;0,"PENDING","REUSE")))))</f>
        <v/>
      </c>
      <c r="M151" s="20" t="inlineStr">
        <is>
          <t>PENDING</t>
        </is>
      </c>
      <c r="N151" s="20" t="str"/>
      <c r="O151" s="20" t="str"/>
      <c r="P151" s="20" t="str"/>
      <c r="Q151" s="20" t="inlineStr">
        <is>
          <t>待确认</t>
        </is>
      </c>
      <c r="R151" s="20" t="inlineStr">
        <is>
          <t>未开始</t>
        </is>
      </c>
      <c r="S151">
        <f>IF(B151="","",IF(E151="已暴露","DEV_REG_ONLY","ANY"))</f>
        <v/>
      </c>
    </row>
    <row r="152">
      <c r="A152" s="20" t="n">
        <v>149</v>
      </c>
      <c r="B152" s="20" t="str"/>
      <c r="C152" s="20" t="str"/>
      <c r="D152" s="20" t="str"/>
      <c r="E152" s="20" t="str"/>
      <c r="F152" s="20" t="inlineStr">
        <is>
          <t>PENDING</t>
        </is>
      </c>
      <c r="G152" s="20" t="inlineStr">
        <is>
          <t>PENDING</t>
        </is>
      </c>
      <c r="H152" s="20" t="inlineStr">
        <is>
          <t>PENDING</t>
        </is>
      </c>
      <c r="I152" s="20" t="inlineStr">
        <is>
          <t>PENDING</t>
        </is>
      </c>
      <c r="J152" s="20" t="inlineStr">
        <is>
          <t>PENDING</t>
        </is>
      </c>
      <c r="K152" s="20" t="inlineStr">
        <is>
          <t>待确认</t>
        </is>
      </c>
      <c r="L152" s="20">
        <f>IF(B152="","",IF(OR(F152="FAIL",K152="泄漏"),"DROP",IF(G152="FAIL","RELABEL",IF(OR(H152="FAIL",I152="FAIL",J152="FAIL"),"REWORK",IF(COUNTIF(F152:J152,"PENDING")&gt;0,"PENDING","REUSE")))))</f>
        <v/>
      </c>
      <c r="M152" s="20" t="inlineStr">
        <is>
          <t>PENDING</t>
        </is>
      </c>
      <c r="N152" s="20" t="str"/>
      <c r="O152" s="20" t="str"/>
      <c r="P152" s="20" t="str"/>
      <c r="Q152" s="20" t="inlineStr">
        <is>
          <t>待确认</t>
        </is>
      </c>
      <c r="R152" s="20" t="inlineStr">
        <is>
          <t>未开始</t>
        </is>
      </c>
      <c r="S152">
        <f>IF(B152="","",IF(E152="已暴露","DEV_REG_ONLY","ANY"))</f>
        <v/>
      </c>
    </row>
    <row r="153">
      <c r="A153" s="20" t="n">
        <v>150</v>
      </c>
      <c r="B153" s="20" t="str"/>
      <c r="C153" s="20" t="str"/>
      <c r="D153" s="20" t="str"/>
      <c r="E153" s="20" t="str"/>
      <c r="F153" s="20" t="inlineStr">
        <is>
          <t>PENDING</t>
        </is>
      </c>
      <c r="G153" s="20" t="inlineStr">
        <is>
          <t>PENDING</t>
        </is>
      </c>
      <c r="H153" s="20" t="inlineStr">
        <is>
          <t>PENDING</t>
        </is>
      </c>
      <c r="I153" s="20" t="inlineStr">
        <is>
          <t>PENDING</t>
        </is>
      </c>
      <c r="J153" s="20" t="inlineStr">
        <is>
          <t>PENDING</t>
        </is>
      </c>
      <c r="K153" s="20" t="inlineStr">
        <is>
          <t>待确认</t>
        </is>
      </c>
      <c r="L153" s="20">
        <f>IF(B153="","",IF(OR(F153="FAIL",K153="泄漏"),"DROP",IF(G153="FAIL","RELABEL",IF(OR(H153="FAIL",I153="FAIL",J153="FAIL"),"REWORK",IF(COUNTIF(F153:J153,"PENDING")&gt;0,"PENDING","REUSE")))))</f>
        <v/>
      </c>
      <c r="M153" s="20" t="inlineStr">
        <is>
          <t>PENDING</t>
        </is>
      </c>
      <c r="N153" s="20" t="str"/>
      <c r="O153" s="20" t="str"/>
      <c r="P153" s="20" t="str"/>
      <c r="Q153" s="20" t="inlineStr">
        <is>
          <t>待确认</t>
        </is>
      </c>
      <c r="R153" s="20" t="inlineStr">
        <is>
          <t>未开始</t>
        </is>
      </c>
      <c r="S153">
        <f>IF(B153="","",IF(E153="已暴露","DEV_REG_ONLY","ANY"))</f>
        <v/>
      </c>
    </row>
    <row r="154">
      <c r="A154" s="20" t="n">
        <v>151</v>
      </c>
      <c r="B154" s="20" t="str"/>
      <c r="C154" s="20" t="str"/>
      <c r="D154" s="20" t="str"/>
      <c r="E154" s="20" t="str"/>
      <c r="F154" s="20" t="inlineStr">
        <is>
          <t>PENDING</t>
        </is>
      </c>
      <c r="G154" s="20" t="inlineStr">
        <is>
          <t>PENDING</t>
        </is>
      </c>
      <c r="H154" s="20" t="inlineStr">
        <is>
          <t>PENDING</t>
        </is>
      </c>
      <c r="I154" s="20" t="inlineStr">
        <is>
          <t>PENDING</t>
        </is>
      </c>
      <c r="J154" s="20" t="inlineStr">
        <is>
          <t>PENDING</t>
        </is>
      </c>
      <c r="K154" s="20" t="inlineStr">
        <is>
          <t>待确认</t>
        </is>
      </c>
      <c r="L154" s="20">
        <f>IF(B154="","",IF(OR(F154="FAIL",K154="泄漏"),"DROP",IF(G154="FAIL","RELABEL",IF(OR(H154="FAIL",I154="FAIL",J154="FAIL"),"REWORK",IF(COUNTIF(F154:J154,"PENDING")&gt;0,"PENDING","REUSE")))))</f>
        <v/>
      </c>
      <c r="M154" s="20" t="inlineStr">
        <is>
          <t>PENDING</t>
        </is>
      </c>
      <c r="N154" s="20" t="str"/>
      <c r="O154" s="20" t="str"/>
      <c r="P154" s="20" t="str"/>
      <c r="Q154" s="20" t="inlineStr">
        <is>
          <t>待确认</t>
        </is>
      </c>
      <c r="R154" s="20" t="inlineStr">
        <is>
          <t>未开始</t>
        </is>
      </c>
      <c r="S154">
        <f>IF(B154="","",IF(E154="已暴露","DEV_REG_ONLY","ANY"))</f>
        <v/>
      </c>
    </row>
    <row r="155">
      <c r="A155" s="20" t="n">
        <v>152</v>
      </c>
      <c r="B155" s="20" t="str"/>
      <c r="C155" s="20" t="str"/>
      <c r="D155" s="20" t="str"/>
      <c r="E155" s="20" t="str"/>
      <c r="F155" s="20" t="inlineStr">
        <is>
          <t>PENDING</t>
        </is>
      </c>
      <c r="G155" s="20" t="inlineStr">
        <is>
          <t>PENDING</t>
        </is>
      </c>
      <c r="H155" s="20" t="inlineStr">
        <is>
          <t>PENDING</t>
        </is>
      </c>
      <c r="I155" s="20" t="inlineStr">
        <is>
          <t>PENDING</t>
        </is>
      </c>
      <c r="J155" s="20" t="inlineStr">
        <is>
          <t>PENDING</t>
        </is>
      </c>
      <c r="K155" s="20" t="inlineStr">
        <is>
          <t>待确认</t>
        </is>
      </c>
      <c r="L155" s="20">
        <f>IF(B155="","",IF(OR(F155="FAIL",K155="泄漏"),"DROP",IF(G155="FAIL","RELABEL",IF(OR(H155="FAIL",I155="FAIL",J155="FAIL"),"REWORK",IF(COUNTIF(F155:J155,"PENDING")&gt;0,"PENDING","REUSE")))))</f>
        <v/>
      </c>
      <c r="M155" s="20" t="inlineStr">
        <is>
          <t>PENDING</t>
        </is>
      </c>
      <c r="N155" s="20" t="str"/>
      <c r="O155" s="20" t="str"/>
      <c r="P155" s="20" t="str"/>
      <c r="Q155" s="20" t="inlineStr">
        <is>
          <t>待确认</t>
        </is>
      </c>
      <c r="R155" s="20" t="inlineStr">
        <is>
          <t>未开始</t>
        </is>
      </c>
      <c r="S155">
        <f>IF(B155="","",IF(E155="已暴露","DEV_REG_ONLY","ANY"))</f>
        <v/>
      </c>
    </row>
    <row r="156">
      <c r="A156" s="20" t="n">
        <v>153</v>
      </c>
      <c r="B156" s="20" t="str"/>
      <c r="C156" s="20" t="str"/>
      <c r="D156" s="20" t="str"/>
      <c r="E156" s="20" t="str"/>
      <c r="F156" s="20" t="inlineStr">
        <is>
          <t>PENDING</t>
        </is>
      </c>
      <c r="G156" s="20" t="inlineStr">
        <is>
          <t>PENDING</t>
        </is>
      </c>
      <c r="H156" s="20" t="inlineStr">
        <is>
          <t>PENDING</t>
        </is>
      </c>
      <c r="I156" s="20" t="inlineStr">
        <is>
          <t>PENDING</t>
        </is>
      </c>
      <c r="J156" s="20" t="inlineStr">
        <is>
          <t>PENDING</t>
        </is>
      </c>
      <c r="K156" s="20" t="inlineStr">
        <is>
          <t>待确认</t>
        </is>
      </c>
      <c r="L156" s="20">
        <f>IF(B156="","",IF(OR(F156="FAIL",K156="泄漏"),"DROP",IF(G156="FAIL","RELABEL",IF(OR(H156="FAIL",I156="FAIL",J156="FAIL"),"REWORK",IF(COUNTIF(F156:J156,"PENDING")&gt;0,"PENDING","REUSE")))))</f>
        <v/>
      </c>
      <c r="M156" s="20" t="inlineStr">
        <is>
          <t>PENDING</t>
        </is>
      </c>
      <c r="N156" s="20" t="str"/>
      <c r="O156" s="20" t="str"/>
      <c r="P156" s="20" t="str"/>
      <c r="Q156" s="20" t="inlineStr">
        <is>
          <t>待确认</t>
        </is>
      </c>
      <c r="R156" s="20" t="inlineStr">
        <is>
          <t>未开始</t>
        </is>
      </c>
      <c r="S156">
        <f>IF(B156="","",IF(E156="已暴露","DEV_REG_ONLY","ANY"))</f>
        <v/>
      </c>
    </row>
    <row r="157">
      <c r="A157" s="20" t="n">
        <v>154</v>
      </c>
      <c r="B157" s="20" t="str"/>
      <c r="C157" s="20" t="str"/>
      <c r="D157" s="20" t="str"/>
      <c r="E157" s="20" t="str"/>
      <c r="F157" s="20" t="inlineStr">
        <is>
          <t>PENDING</t>
        </is>
      </c>
      <c r="G157" s="20" t="inlineStr">
        <is>
          <t>PENDING</t>
        </is>
      </c>
      <c r="H157" s="20" t="inlineStr">
        <is>
          <t>PENDING</t>
        </is>
      </c>
      <c r="I157" s="20" t="inlineStr">
        <is>
          <t>PENDING</t>
        </is>
      </c>
      <c r="J157" s="20" t="inlineStr">
        <is>
          <t>PENDING</t>
        </is>
      </c>
      <c r="K157" s="20" t="inlineStr">
        <is>
          <t>待确认</t>
        </is>
      </c>
      <c r="L157" s="20">
        <f>IF(B157="","",IF(OR(F157="FAIL",K157="泄漏"),"DROP",IF(G157="FAIL","RELABEL",IF(OR(H157="FAIL",I157="FAIL",J157="FAIL"),"REWORK",IF(COUNTIF(F157:J157,"PENDING")&gt;0,"PENDING","REUSE")))))</f>
        <v/>
      </c>
      <c r="M157" s="20" t="inlineStr">
        <is>
          <t>PENDING</t>
        </is>
      </c>
      <c r="N157" s="20" t="str"/>
      <c r="O157" s="20" t="str"/>
      <c r="P157" s="20" t="str"/>
      <c r="Q157" s="20" t="inlineStr">
        <is>
          <t>待确认</t>
        </is>
      </c>
      <c r="R157" s="20" t="inlineStr">
        <is>
          <t>未开始</t>
        </is>
      </c>
      <c r="S157">
        <f>IF(B157="","",IF(E157="已暴露","DEV_REG_ONLY","ANY"))</f>
        <v/>
      </c>
    </row>
    <row r="158">
      <c r="A158" s="20" t="n">
        <v>155</v>
      </c>
      <c r="B158" s="20" t="str"/>
      <c r="C158" s="20" t="str"/>
      <c r="D158" s="20" t="str"/>
      <c r="E158" s="20" t="str"/>
      <c r="F158" s="20" t="inlineStr">
        <is>
          <t>PENDING</t>
        </is>
      </c>
      <c r="G158" s="20" t="inlineStr">
        <is>
          <t>PENDING</t>
        </is>
      </c>
      <c r="H158" s="20" t="inlineStr">
        <is>
          <t>PENDING</t>
        </is>
      </c>
      <c r="I158" s="20" t="inlineStr">
        <is>
          <t>PENDING</t>
        </is>
      </c>
      <c r="J158" s="20" t="inlineStr">
        <is>
          <t>PENDING</t>
        </is>
      </c>
      <c r="K158" s="20" t="inlineStr">
        <is>
          <t>待确认</t>
        </is>
      </c>
      <c r="L158" s="20">
        <f>IF(B158="","",IF(OR(F158="FAIL",K158="泄漏"),"DROP",IF(G158="FAIL","RELABEL",IF(OR(H158="FAIL",I158="FAIL",J158="FAIL"),"REWORK",IF(COUNTIF(F158:J158,"PENDING")&gt;0,"PENDING","REUSE")))))</f>
        <v/>
      </c>
      <c r="M158" s="20" t="inlineStr">
        <is>
          <t>PENDING</t>
        </is>
      </c>
      <c r="N158" s="20" t="str"/>
      <c r="O158" s="20" t="str"/>
      <c r="P158" s="20" t="str"/>
      <c r="Q158" s="20" t="inlineStr">
        <is>
          <t>待确认</t>
        </is>
      </c>
      <c r="R158" s="20" t="inlineStr">
        <is>
          <t>未开始</t>
        </is>
      </c>
      <c r="S158">
        <f>IF(B158="","",IF(E158="已暴露","DEV_REG_ONLY","ANY"))</f>
        <v/>
      </c>
    </row>
    <row r="159">
      <c r="A159" s="20" t="n">
        <v>156</v>
      </c>
      <c r="B159" s="20" t="str"/>
      <c r="C159" s="20" t="str"/>
      <c r="D159" s="20" t="str"/>
      <c r="E159" s="20" t="str"/>
      <c r="F159" s="20" t="inlineStr">
        <is>
          <t>PENDING</t>
        </is>
      </c>
      <c r="G159" s="20" t="inlineStr">
        <is>
          <t>PENDING</t>
        </is>
      </c>
      <c r="H159" s="20" t="inlineStr">
        <is>
          <t>PENDING</t>
        </is>
      </c>
      <c r="I159" s="20" t="inlineStr">
        <is>
          <t>PENDING</t>
        </is>
      </c>
      <c r="J159" s="20" t="inlineStr">
        <is>
          <t>PENDING</t>
        </is>
      </c>
      <c r="K159" s="20" t="inlineStr">
        <is>
          <t>待确认</t>
        </is>
      </c>
      <c r="L159" s="20">
        <f>IF(B159="","",IF(OR(F159="FAIL",K159="泄漏"),"DROP",IF(G159="FAIL","RELABEL",IF(OR(H159="FAIL",I159="FAIL",J159="FAIL"),"REWORK",IF(COUNTIF(F159:J159,"PENDING")&gt;0,"PENDING","REUSE")))))</f>
        <v/>
      </c>
      <c r="M159" s="20" t="inlineStr">
        <is>
          <t>PENDING</t>
        </is>
      </c>
      <c r="N159" s="20" t="str"/>
      <c r="O159" s="20" t="str"/>
      <c r="P159" s="20" t="str"/>
      <c r="Q159" s="20" t="inlineStr">
        <is>
          <t>待确认</t>
        </is>
      </c>
      <c r="R159" s="20" t="inlineStr">
        <is>
          <t>未开始</t>
        </is>
      </c>
      <c r="S159">
        <f>IF(B159="","",IF(E159="已暴露","DEV_REG_ONLY","ANY"))</f>
        <v/>
      </c>
    </row>
    <row r="160">
      <c r="A160" s="20" t="n">
        <v>157</v>
      </c>
      <c r="B160" s="20" t="str"/>
      <c r="C160" s="20" t="str"/>
      <c r="D160" s="20" t="str"/>
      <c r="E160" s="20" t="str"/>
      <c r="F160" s="20" t="inlineStr">
        <is>
          <t>PENDING</t>
        </is>
      </c>
      <c r="G160" s="20" t="inlineStr">
        <is>
          <t>PENDING</t>
        </is>
      </c>
      <c r="H160" s="20" t="inlineStr">
        <is>
          <t>PENDING</t>
        </is>
      </c>
      <c r="I160" s="20" t="inlineStr">
        <is>
          <t>PENDING</t>
        </is>
      </c>
      <c r="J160" s="20" t="inlineStr">
        <is>
          <t>PENDING</t>
        </is>
      </c>
      <c r="K160" s="20" t="inlineStr">
        <is>
          <t>待确认</t>
        </is>
      </c>
      <c r="L160" s="20">
        <f>IF(B160="","",IF(OR(F160="FAIL",K160="泄漏"),"DROP",IF(G160="FAIL","RELABEL",IF(OR(H160="FAIL",I160="FAIL",J160="FAIL"),"REWORK",IF(COUNTIF(F160:J160,"PENDING")&gt;0,"PENDING","REUSE")))))</f>
        <v/>
      </c>
      <c r="M160" s="20" t="inlineStr">
        <is>
          <t>PENDING</t>
        </is>
      </c>
      <c r="N160" s="20" t="str"/>
      <c r="O160" s="20" t="str"/>
      <c r="P160" s="20" t="str"/>
      <c r="Q160" s="20" t="inlineStr">
        <is>
          <t>待确认</t>
        </is>
      </c>
      <c r="R160" s="20" t="inlineStr">
        <is>
          <t>未开始</t>
        </is>
      </c>
      <c r="S160">
        <f>IF(B160="","",IF(E160="已暴露","DEV_REG_ONLY","ANY"))</f>
        <v/>
      </c>
    </row>
    <row r="161">
      <c r="A161" s="20" t="n">
        <v>158</v>
      </c>
      <c r="B161" s="20" t="str"/>
      <c r="C161" s="20" t="str"/>
      <c r="D161" s="20" t="str"/>
      <c r="E161" s="20" t="str"/>
      <c r="F161" s="20" t="inlineStr">
        <is>
          <t>PENDING</t>
        </is>
      </c>
      <c r="G161" s="20" t="inlineStr">
        <is>
          <t>PENDING</t>
        </is>
      </c>
      <c r="H161" s="20" t="inlineStr">
        <is>
          <t>PENDING</t>
        </is>
      </c>
      <c r="I161" s="20" t="inlineStr">
        <is>
          <t>PENDING</t>
        </is>
      </c>
      <c r="J161" s="20" t="inlineStr">
        <is>
          <t>PENDING</t>
        </is>
      </c>
      <c r="K161" s="20" t="inlineStr">
        <is>
          <t>待确认</t>
        </is>
      </c>
      <c r="L161" s="20">
        <f>IF(B161="","",IF(OR(F161="FAIL",K161="泄漏"),"DROP",IF(G161="FAIL","RELABEL",IF(OR(H161="FAIL",I161="FAIL",J161="FAIL"),"REWORK",IF(COUNTIF(F161:J161,"PENDING")&gt;0,"PENDING","REUSE")))))</f>
        <v/>
      </c>
      <c r="M161" s="20" t="inlineStr">
        <is>
          <t>PENDING</t>
        </is>
      </c>
      <c r="N161" s="20" t="str"/>
      <c r="O161" s="20" t="str"/>
      <c r="P161" s="20" t="str"/>
      <c r="Q161" s="20" t="inlineStr">
        <is>
          <t>待确认</t>
        </is>
      </c>
      <c r="R161" s="20" t="inlineStr">
        <is>
          <t>未开始</t>
        </is>
      </c>
      <c r="S161">
        <f>IF(B161="","",IF(E161="已暴露","DEV_REG_ONLY","ANY"))</f>
        <v/>
      </c>
    </row>
    <row r="162">
      <c r="A162" s="20" t="n">
        <v>159</v>
      </c>
      <c r="B162" s="20" t="str"/>
      <c r="C162" s="20" t="str"/>
      <c r="D162" s="20" t="str"/>
      <c r="E162" s="20" t="str"/>
      <c r="F162" s="20" t="inlineStr">
        <is>
          <t>PENDING</t>
        </is>
      </c>
      <c r="G162" s="20" t="inlineStr">
        <is>
          <t>PENDING</t>
        </is>
      </c>
      <c r="H162" s="20" t="inlineStr">
        <is>
          <t>PENDING</t>
        </is>
      </c>
      <c r="I162" s="20" t="inlineStr">
        <is>
          <t>PENDING</t>
        </is>
      </c>
      <c r="J162" s="20" t="inlineStr">
        <is>
          <t>PENDING</t>
        </is>
      </c>
      <c r="K162" s="20" t="inlineStr">
        <is>
          <t>待确认</t>
        </is>
      </c>
      <c r="L162" s="20">
        <f>IF(B162="","",IF(OR(F162="FAIL",K162="泄漏"),"DROP",IF(G162="FAIL","RELABEL",IF(OR(H162="FAIL",I162="FAIL",J162="FAIL"),"REWORK",IF(COUNTIF(F162:J162,"PENDING")&gt;0,"PENDING","REUSE")))))</f>
        <v/>
      </c>
      <c r="M162" s="20" t="inlineStr">
        <is>
          <t>PENDING</t>
        </is>
      </c>
      <c r="N162" s="20" t="str"/>
      <c r="O162" s="20" t="str"/>
      <c r="P162" s="20" t="str"/>
      <c r="Q162" s="20" t="inlineStr">
        <is>
          <t>待确认</t>
        </is>
      </c>
      <c r="R162" s="20" t="inlineStr">
        <is>
          <t>未开始</t>
        </is>
      </c>
      <c r="S162">
        <f>IF(B162="","",IF(E162="已暴露","DEV_REG_ONLY","ANY"))</f>
        <v/>
      </c>
    </row>
    <row r="163">
      <c r="A163" s="20" t="n">
        <v>160</v>
      </c>
      <c r="B163" s="20" t="str"/>
      <c r="C163" s="20" t="str"/>
      <c r="D163" s="20" t="str"/>
      <c r="E163" s="20" t="str"/>
      <c r="F163" s="20" t="inlineStr">
        <is>
          <t>PENDING</t>
        </is>
      </c>
      <c r="G163" s="20" t="inlineStr">
        <is>
          <t>PENDING</t>
        </is>
      </c>
      <c r="H163" s="20" t="inlineStr">
        <is>
          <t>PENDING</t>
        </is>
      </c>
      <c r="I163" s="20" t="inlineStr">
        <is>
          <t>PENDING</t>
        </is>
      </c>
      <c r="J163" s="20" t="inlineStr">
        <is>
          <t>PENDING</t>
        </is>
      </c>
      <c r="K163" s="20" t="inlineStr">
        <is>
          <t>待确认</t>
        </is>
      </c>
      <c r="L163" s="20">
        <f>IF(B163="","",IF(OR(F163="FAIL",K163="泄漏"),"DROP",IF(G163="FAIL","RELABEL",IF(OR(H163="FAIL",I163="FAIL",J163="FAIL"),"REWORK",IF(COUNTIF(F163:J163,"PENDING")&gt;0,"PENDING","REUSE")))))</f>
        <v/>
      </c>
      <c r="M163" s="20" t="inlineStr">
        <is>
          <t>PENDING</t>
        </is>
      </c>
      <c r="N163" s="20" t="str"/>
      <c r="O163" s="20" t="str"/>
      <c r="P163" s="20" t="str"/>
      <c r="Q163" s="20" t="inlineStr">
        <is>
          <t>待确认</t>
        </is>
      </c>
      <c r="R163" s="20" t="inlineStr">
        <is>
          <t>未开始</t>
        </is>
      </c>
      <c r="S163">
        <f>IF(B163="","",IF(E163="已暴露","DEV_REG_ONLY","ANY"))</f>
        <v/>
      </c>
    </row>
    <row r="164">
      <c r="A164" s="20" t="n">
        <v>161</v>
      </c>
      <c r="B164" s="20" t="str"/>
      <c r="C164" s="20" t="str"/>
      <c r="D164" s="20" t="str"/>
      <c r="E164" s="20" t="str"/>
      <c r="F164" s="20" t="inlineStr">
        <is>
          <t>PENDING</t>
        </is>
      </c>
      <c r="G164" s="20" t="inlineStr">
        <is>
          <t>PENDING</t>
        </is>
      </c>
      <c r="H164" s="20" t="inlineStr">
        <is>
          <t>PENDING</t>
        </is>
      </c>
      <c r="I164" s="20" t="inlineStr">
        <is>
          <t>PENDING</t>
        </is>
      </c>
      <c r="J164" s="20" t="inlineStr">
        <is>
          <t>PENDING</t>
        </is>
      </c>
      <c r="K164" s="20" t="inlineStr">
        <is>
          <t>待确认</t>
        </is>
      </c>
      <c r="L164" s="20">
        <f>IF(B164="","",IF(OR(F164="FAIL",K164="泄漏"),"DROP",IF(G164="FAIL","RELABEL",IF(OR(H164="FAIL",I164="FAIL",J164="FAIL"),"REWORK",IF(COUNTIF(F164:J164,"PENDING")&gt;0,"PENDING","REUSE")))))</f>
        <v/>
      </c>
      <c r="M164" s="20" t="inlineStr">
        <is>
          <t>PENDING</t>
        </is>
      </c>
      <c r="N164" s="20" t="str"/>
      <c r="O164" s="20" t="str"/>
      <c r="P164" s="20" t="str"/>
      <c r="Q164" s="20" t="inlineStr">
        <is>
          <t>待确认</t>
        </is>
      </c>
      <c r="R164" s="20" t="inlineStr">
        <is>
          <t>未开始</t>
        </is>
      </c>
      <c r="S164">
        <f>IF(B164="","",IF(E164="已暴露","DEV_REG_ONLY","ANY"))</f>
        <v/>
      </c>
    </row>
    <row r="165">
      <c r="A165" s="20" t="n">
        <v>162</v>
      </c>
      <c r="B165" s="20" t="str"/>
      <c r="C165" s="20" t="str"/>
      <c r="D165" s="20" t="str"/>
      <c r="E165" s="20" t="str"/>
      <c r="F165" s="20" t="inlineStr">
        <is>
          <t>PENDING</t>
        </is>
      </c>
      <c r="G165" s="20" t="inlineStr">
        <is>
          <t>PENDING</t>
        </is>
      </c>
      <c r="H165" s="20" t="inlineStr">
        <is>
          <t>PENDING</t>
        </is>
      </c>
      <c r="I165" s="20" t="inlineStr">
        <is>
          <t>PENDING</t>
        </is>
      </c>
      <c r="J165" s="20" t="inlineStr">
        <is>
          <t>PENDING</t>
        </is>
      </c>
      <c r="K165" s="20" t="inlineStr">
        <is>
          <t>待确认</t>
        </is>
      </c>
      <c r="L165" s="20">
        <f>IF(B165="","",IF(OR(F165="FAIL",K165="泄漏"),"DROP",IF(G165="FAIL","RELABEL",IF(OR(H165="FAIL",I165="FAIL",J165="FAIL"),"REWORK",IF(COUNTIF(F165:J165,"PENDING")&gt;0,"PENDING","REUSE")))))</f>
        <v/>
      </c>
      <c r="M165" s="20" t="inlineStr">
        <is>
          <t>PENDING</t>
        </is>
      </c>
      <c r="N165" s="20" t="str"/>
      <c r="O165" s="20" t="str"/>
      <c r="P165" s="20" t="str"/>
      <c r="Q165" s="20" t="inlineStr">
        <is>
          <t>待确认</t>
        </is>
      </c>
      <c r="R165" s="20" t="inlineStr">
        <is>
          <t>未开始</t>
        </is>
      </c>
      <c r="S165">
        <f>IF(B165="","",IF(E165="已暴露","DEV_REG_ONLY","ANY"))</f>
        <v/>
      </c>
    </row>
    <row r="166">
      <c r="A166" s="20" t="n">
        <v>163</v>
      </c>
      <c r="B166" s="20" t="str"/>
      <c r="C166" s="20" t="str"/>
      <c r="D166" s="20" t="str"/>
      <c r="E166" s="20" t="str"/>
      <c r="F166" s="20" t="inlineStr">
        <is>
          <t>PENDING</t>
        </is>
      </c>
      <c r="G166" s="20" t="inlineStr">
        <is>
          <t>PENDING</t>
        </is>
      </c>
      <c r="H166" s="20" t="inlineStr">
        <is>
          <t>PENDING</t>
        </is>
      </c>
      <c r="I166" s="20" t="inlineStr">
        <is>
          <t>PENDING</t>
        </is>
      </c>
      <c r="J166" s="20" t="inlineStr">
        <is>
          <t>PENDING</t>
        </is>
      </c>
      <c r="K166" s="20" t="inlineStr">
        <is>
          <t>待确认</t>
        </is>
      </c>
      <c r="L166" s="20">
        <f>IF(B166="","",IF(OR(F166="FAIL",K166="泄漏"),"DROP",IF(G166="FAIL","RELABEL",IF(OR(H166="FAIL",I166="FAIL",J166="FAIL"),"REWORK",IF(COUNTIF(F166:J166,"PENDING")&gt;0,"PENDING","REUSE")))))</f>
        <v/>
      </c>
      <c r="M166" s="20" t="inlineStr">
        <is>
          <t>PENDING</t>
        </is>
      </c>
      <c r="N166" s="20" t="str"/>
      <c r="O166" s="20" t="str"/>
      <c r="P166" s="20" t="str"/>
      <c r="Q166" s="20" t="inlineStr">
        <is>
          <t>待确认</t>
        </is>
      </c>
      <c r="R166" s="20" t="inlineStr">
        <is>
          <t>未开始</t>
        </is>
      </c>
      <c r="S166">
        <f>IF(B166="","",IF(E166="已暴露","DEV_REG_ONLY","ANY"))</f>
        <v/>
      </c>
    </row>
    <row r="167">
      <c r="A167" s="20" t="n">
        <v>164</v>
      </c>
      <c r="B167" s="20" t="str"/>
      <c r="C167" s="20" t="str"/>
      <c r="D167" s="20" t="str"/>
      <c r="E167" s="20" t="str"/>
      <c r="F167" s="20" t="inlineStr">
        <is>
          <t>PENDING</t>
        </is>
      </c>
      <c r="G167" s="20" t="inlineStr">
        <is>
          <t>PENDING</t>
        </is>
      </c>
      <c r="H167" s="20" t="inlineStr">
        <is>
          <t>PENDING</t>
        </is>
      </c>
      <c r="I167" s="20" t="inlineStr">
        <is>
          <t>PENDING</t>
        </is>
      </c>
      <c r="J167" s="20" t="inlineStr">
        <is>
          <t>PENDING</t>
        </is>
      </c>
      <c r="K167" s="20" t="inlineStr">
        <is>
          <t>待确认</t>
        </is>
      </c>
      <c r="L167" s="20">
        <f>IF(B167="","",IF(OR(F167="FAIL",K167="泄漏"),"DROP",IF(G167="FAIL","RELABEL",IF(OR(H167="FAIL",I167="FAIL",J167="FAIL"),"REWORK",IF(COUNTIF(F167:J167,"PENDING")&gt;0,"PENDING","REUSE")))))</f>
        <v/>
      </c>
      <c r="M167" s="20" t="inlineStr">
        <is>
          <t>PENDING</t>
        </is>
      </c>
      <c r="N167" s="20" t="str"/>
      <c r="O167" s="20" t="str"/>
      <c r="P167" s="20" t="str"/>
      <c r="Q167" s="20" t="inlineStr">
        <is>
          <t>待确认</t>
        </is>
      </c>
      <c r="R167" s="20" t="inlineStr">
        <is>
          <t>未开始</t>
        </is>
      </c>
      <c r="S167">
        <f>IF(B167="","",IF(E167="已暴露","DEV_REG_ONLY","ANY"))</f>
        <v/>
      </c>
    </row>
    <row r="168">
      <c r="A168" s="20" t="n">
        <v>165</v>
      </c>
      <c r="B168" s="20" t="str"/>
      <c r="C168" s="20" t="str"/>
      <c r="D168" s="20" t="str"/>
      <c r="E168" s="20" t="str"/>
      <c r="F168" s="20" t="inlineStr">
        <is>
          <t>PENDING</t>
        </is>
      </c>
      <c r="G168" s="20" t="inlineStr">
        <is>
          <t>PENDING</t>
        </is>
      </c>
      <c r="H168" s="20" t="inlineStr">
        <is>
          <t>PENDING</t>
        </is>
      </c>
      <c r="I168" s="20" t="inlineStr">
        <is>
          <t>PENDING</t>
        </is>
      </c>
      <c r="J168" s="20" t="inlineStr">
        <is>
          <t>PENDING</t>
        </is>
      </c>
      <c r="K168" s="20" t="inlineStr">
        <is>
          <t>待确认</t>
        </is>
      </c>
      <c r="L168" s="20">
        <f>IF(B168="","",IF(OR(F168="FAIL",K168="泄漏"),"DROP",IF(G168="FAIL","RELABEL",IF(OR(H168="FAIL",I168="FAIL",J168="FAIL"),"REWORK",IF(COUNTIF(F168:J168,"PENDING")&gt;0,"PENDING","REUSE")))))</f>
        <v/>
      </c>
      <c r="M168" s="20" t="inlineStr">
        <is>
          <t>PENDING</t>
        </is>
      </c>
      <c r="N168" s="20" t="str"/>
      <c r="O168" s="20" t="str"/>
      <c r="P168" s="20" t="str"/>
      <c r="Q168" s="20" t="inlineStr">
        <is>
          <t>待确认</t>
        </is>
      </c>
      <c r="R168" s="20" t="inlineStr">
        <is>
          <t>未开始</t>
        </is>
      </c>
      <c r="S168">
        <f>IF(B168="","",IF(E168="已暴露","DEV_REG_ONLY","ANY"))</f>
        <v/>
      </c>
    </row>
    <row r="169">
      <c r="A169" s="20" t="n">
        <v>166</v>
      </c>
      <c r="B169" s="20" t="str"/>
      <c r="C169" s="20" t="str"/>
      <c r="D169" s="20" t="str"/>
      <c r="E169" s="20" t="str"/>
      <c r="F169" s="20" t="inlineStr">
        <is>
          <t>PENDING</t>
        </is>
      </c>
      <c r="G169" s="20" t="inlineStr">
        <is>
          <t>PENDING</t>
        </is>
      </c>
      <c r="H169" s="20" t="inlineStr">
        <is>
          <t>PENDING</t>
        </is>
      </c>
      <c r="I169" s="20" t="inlineStr">
        <is>
          <t>PENDING</t>
        </is>
      </c>
      <c r="J169" s="20" t="inlineStr">
        <is>
          <t>PENDING</t>
        </is>
      </c>
      <c r="K169" s="20" t="inlineStr">
        <is>
          <t>待确认</t>
        </is>
      </c>
      <c r="L169" s="20">
        <f>IF(B169="","",IF(OR(F169="FAIL",K169="泄漏"),"DROP",IF(G169="FAIL","RELABEL",IF(OR(H169="FAIL",I169="FAIL",J169="FAIL"),"REWORK",IF(COUNTIF(F169:J169,"PENDING")&gt;0,"PENDING","REUSE")))))</f>
        <v/>
      </c>
      <c r="M169" s="20" t="inlineStr">
        <is>
          <t>PENDING</t>
        </is>
      </c>
      <c r="N169" s="20" t="str"/>
      <c r="O169" s="20" t="str"/>
      <c r="P169" s="20" t="str"/>
      <c r="Q169" s="20" t="inlineStr">
        <is>
          <t>待确认</t>
        </is>
      </c>
      <c r="R169" s="20" t="inlineStr">
        <is>
          <t>未开始</t>
        </is>
      </c>
      <c r="S169">
        <f>IF(B169="","",IF(E169="已暴露","DEV_REG_ONLY","ANY"))</f>
        <v/>
      </c>
    </row>
    <row r="170">
      <c r="A170" s="20" t="n">
        <v>167</v>
      </c>
      <c r="B170" s="20" t="str"/>
      <c r="C170" s="20" t="str"/>
      <c r="D170" s="20" t="str"/>
      <c r="E170" s="20" t="str"/>
      <c r="F170" s="20" t="inlineStr">
        <is>
          <t>PENDING</t>
        </is>
      </c>
      <c r="G170" s="20" t="inlineStr">
        <is>
          <t>PENDING</t>
        </is>
      </c>
      <c r="H170" s="20" t="inlineStr">
        <is>
          <t>PENDING</t>
        </is>
      </c>
      <c r="I170" s="20" t="inlineStr">
        <is>
          <t>PENDING</t>
        </is>
      </c>
      <c r="J170" s="20" t="inlineStr">
        <is>
          <t>PENDING</t>
        </is>
      </c>
      <c r="K170" s="20" t="inlineStr">
        <is>
          <t>待确认</t>
        </is>
      </c>
      <c r="L170" s="20">
        <f>IF(B170="","",IF(OR(F170="FAIL",K170="泄漏"),"DROP",IF(G170="FAIL","RELABEL",IF(OR(H170="FAIL",I170="FAIL",J170="FAIL"),"REWORK",IF(COUNTIF(F170:J170,"PENDING")&gt;0,"PENDING","REUSE")))))</f>
        <v/>
      </c>
      <c r="M170" s="20" t="inlineStr">
        <is>
          <t>PENDING</t>
        </is>
      </c>
      <c r="N170" s="20" t="str"/>
      <c r="O170" s="20" t="str"/>
      <c r="P170" s="20" t="str"/>
      <c r="Q170" s="20" t="inlineStr">
        <is>
          <t>待确认</t>
        </is>
      </c>
      <c r="R170" s="20" t="inlineStr">
        <is>
          <t>未开始</t>
        </is>
      </c>
      <c r="S170">
        <f>IF(B170="","",IF(E170="已暴露","DEV_REG_ONLY","ANY"))</f>
        <v/>
      </c>
    </row>
    <row r="171">
      <c r="A171" s="20" t="n">
        <v>168</v>
      </c>
      <c r="B171" s="20" t="str"/>
      <c r="C171" s="20" t="str"/>
      <c r="D171" s="20" t="str"/>
      <c r="E171" s="20" t="str"/>
      <c r="F171" s="20" t="inlineStr">
        <is>
          <t>PENDING</t>
        </is>
      </c>
      <c r="G171" s="20" t="inlineStr">
        <is>
          <t>PENDING</t>
        </is>
      </c>
      <c r="H171" s="20" t="inlineStr">
        <is>
          <t>PENDING</t>
        </is>
      </c>
      <c r="I171" s="20" t="inlineStr">
        <is>
          <t>PENDING</t>
        </is>
      </c>
      <c r="J171" s="20" t="inlineStr">
        <is>
          <t>PENDING</t>
        </is>
      </c>
      <c r="K171" s="20" t="inlineStr">
        <is>
          <t>待确认</t>
        </is>
      </c>
      <c r="L171" s="20">
        <f>IF(B171="","",IF(OR(F171="FAIL",K171="泄漏"),"DROP",IF(G171="FAIL","RELABEL",IF(OR(H171="FAIL",I171="FAIL",J171="FAIL"),"REWORK",IF(COUNTIF(F171:J171,"PENDING")&gt;0,"PENDING","REUSE")))))</f>
        <v/>
      </c>
      <c r="M171" s="20" t="inlineStr">
        <is>
          <t>PENDING</t>
        </is>
      </c>
      <c r="N171" s="20" t="str"/>
      <c r="O171" s="20" t="str"/>
      <c r="P171" s="20" t="str"/>
      <c r="Q171" s="20" t="inlineStr">
        <is>
          <t>待确认</t>
        </is>
      </c>
      <c r="R171" s="20" t="inlineStr">
        <is>
          <t>未开始</t>
        </is>
      </c>
      <c r="S171">
        <f>IF(B171="","",IF(E171="已暴露","DEV_REG_ONLY","ANY"))</f>
        <v/>
      </c>
    </row>
    <row r="172">
      <c r="A172" s="20" t="n">
        <v>169</v>
      </c>
      <c r="B172" s="20" t="str"/>
      <c r="C172" s="20" t="str"/>
      <c r="D172" s="20" t="str"/>
      <c r="E172" s="20" t="str"/>
      <c r="F172" s="20" t="inlineStr">
        <is>
          <t>PENDING</t>
        </is>
      </c>
      <c r="G172" s="20" t="inlineStr">
        <is>
          <t>PENDING</t>
        </is>
      </c>
      <c r="H172" s="20" t="inlineStr">
        <is>
          <t>PENDING</t>
        </is>
      </c>
      <c r="I172" s="20" t="inlineStr">
        <is>
          <t>PENDING</t>
        </is>
      </c>
      <c r="J172" s="20" t="inlineStr">
        <is>
          <t>PENDING</t>
        </is>
      </c>
      <c r="K172" s="20" t="inlineStr">
        <is>
          <t>待确认</t>
        </is>
      </c>
      <c r="L172" s="20">
        <f>IF(B172="","",IF(OR(F172="FAIL",K172="泄漏"),"DROP",IF(G172="FAIL","RELABEL",IF(OR(H172="FAIL",I172="FAIL",J172="FAIL"),"REWORK",IF(COUNTIF(F172:J172,"PENDING")&gt;0,"PENDING","REUSE")))))</f>
        <v/>
      </c>
      <c r="M172" s="20" t="inlineStr">
        <is>
          <t>PENDING</t>
        </is>
      </c>
      <c r="N172" s="20" t="str"/>
      <c r="O172" s="20" t="str"/>
      <c r="P172" s="20" t="str"/>
      <c r="Q172" s="20" t="inlineStr">
        <is>
          <t>待确认</t>
        </is>
      </c>
      <c r="R172" s="20" t="inlineStr">
        <is>
          <t>未开始</t>
        </is>
      </c>
      <c r="S172">
        <f>IF(B172="","",IF(E172="已暴露","DEV_REG_ONLY","ANY"))</f>
        <v/>
      </c>
    </row>
    <row r="173">
      <c r="A173" s="20" t="n">
        <v>170</v>
      </c>
      <c r="B173" s="20" t="str"/>
      <c r="C173" s="20" t="str"/>
      <c r="D173" s="20" t="str"/>
      <c r="E173" s="20" t="str"/>
      <c r="F173" s="20" t="inlineStr">
        <is>
          <t>PENDING</t>
        </is>
      </c>
      <c r="G173" s="20" t="inlineStr">
        <is>
          <t>PENDING</t>
        </is>
      </c>
      <c r="H173" s="20" t="inlineStr">
        <is>
          <t>PENDING</t>
        </is>
      </c>
      <c r="I173" s="20" t="inlineStr">
        <is>
          <t>PENDING</t>
        </is>
      </c>
      <c r="J173" s="20" t="inlineStr">
        <is>
          <t>PENDING</t>
        </is>
      </c>
      <c r="K173" s="20" t="inlineStr">
        <is>
          <t>待确认</t>
        </is>
      </c>
      <c r="L173" s="20">
        <f>IF(B173="","",IF(OR(F173="FAIL",K173="泄漏"),"DROP",IF(G173="FAIL","RELABEL",IF(OR(H173="FAIL",I173="FAIL",J173="FAIL"),"REWORK",IF(COUNTIF(F173:J173,"PENDING")&gt;0,"PENDING","REUSE")))))</f>
        <v/>
      </c>
      <c r="M173" s="20" t="inlineStr">
        <is>
          <t>PENDING</t>
        </is>
      </c>
      <c r="N173" s="20" t="str"/>
      <c r="O173" s="20" t="str"/>
      <c r="P173" s="20" t="str"/>
      <c r="Q173" s="20" t="inlineStr">
        <is>
          <t>待确认</t>
        </is>
      </c>
      <c r="R173" s="20" t="inlineStr">
        <is>
          <t>未开始</t>
        </is>
      </c>
      <c r="S173">
        <f>IF(B173="","",IF(E173="已暴露","DEV_REG_ONLY","ANY"))</f>
        <v/>
      </c>
    </row>
    <row r="174">
      <c r="A174" s="20" t="n">
        <v>171</v>
      </c>
      <c r="B174" s="20" t="str"/>
      <c r="C174" s="20" t="str"/>
      <c r="D174" s="20" t="str"/>
      <c r="E174" s="20" t="str"/>
      <c r="F174" s="20" t="inlineStr">
        <is>
          <t>PENDING</t>
        </is>
      </c>
      <c r="G174" s="20" t="inlineStr">
        <is>
          <t>PENDING</t>
        </is>
      </c>
      <c r="H174" s="20" t="inlineStr">
        <is>
          <t>PENDING</t>
        </is>
      </c>
      <c r="I174" s="20" t="inlineStr">
        <is>
          <t>PENDING</t>
        </is>
      </c>
      <c r="J174" s="20" t="inlineStr">
        <is>
          <t>PENDING</t>
        </is>
      </c>
      <c r="K174" s="20" t="inlineStr">
        <is>
          <t>待确认</t>
        </is>
      </c>
      <c r="L174" s="20">
        <f>IF(B174="","",IF(OR(F174="FAIL",K174="泄漏"),"DROP",IF(G174="FAIL","RELABEL",IF(OR(H174="FAIL",I174="FAIL",J174="FAIL"),"REWORK",IF(COUNTIF(F174:J174,"PENDING")&gt;0,"PENDING","REUSE")))))</f>
        <v/>
      </c>
      <c r="M174" s="20" t="inlineStr">
        <is>
          <t>PENDING</t>
        </is>
      </c>
      <c r="N174" s="20" t="str"/>
      <c r="O174" s="20" t="str"/>
      <c r="P174" s="20" t="str"/>
      <c r="Q174" s="20" t="inlineStr">
        <is>
          <t>待确认</t>
        </is>
      </c>
      <c r="R174" s="20" t="inlineStr">
        <is>
          <t>未开始</t>
        </is>
      </c>
      <c r="S174">
        <f>IF(B174="","",IF(E174="已暴露","DEV_REG_ONLY","ANY"))</f>
        <v/>
      </c>
    </row>
    <row r="175">
      <c r="A175" s="20" t="n">
        <v>172</v>
      </c>
      <c r="B175" s="20" t="str"/>
      <c r="C175" s="20" t="str"/>
      <c r="D175" s="20" t="str"/>
      <c r="E175" s="20" t="str"/>
      <c r="F175" s="20" t="inlineStr">
        <is>
          <t>PENDING</t>
        </is>
      </c>
      <c r="G175" s="20" t="inlineStr">
        <is>
          <t>PENDING</t>
        </is>
      </c>
      <c r="H175" s="20" t="inlineStr">
        <is>
          <t>PENDING</t>
        </is>
      </c>
      <c r="I175" s="20" t="inlineStr">
        <is>
          <t>PENDING</t>
        </is>
      </c>
      <c r="J175" s="20" t="inlineStr">
        <is>
          <t>PENDING</t>
        </is>
      </c>
      <c r="K175" s="20" t="inlineStr">
        <is>
          <t>待确认</t>
        </is>
      </c>
      <c r="L175" s="20">
        <f>IF(B175="","",IF(OR(F175="FAIL",K175="泄漏"),"DROP",IF(G175="FAIL","RELABEL",IF(OR(H175="FAIL",I175="FAIL",J175="FAIL"),"REWORK",IF(COUNTIF(F175:J175,"PENDING")&gt;0,"PENDING","REUSE")))))</f>
        <v/>
      </c>
      <c r="M175" s="20" t="inlineStr">
        <is>
          <t>PENDING</t>
        </is>
      </c>
      <c r="N175" s="20" t="str"/>
      <c r="O175" s="20" t="str"/>
      <c r="P175" s="20" t="str"/>
      <c r="Q175" s="20" t="inlineStr">
        <is>
          <t>待确认</t>
        </is>
      </c>
      <c r="R175" s="20" t="inlineStr">
        <is>
          <t>未开始</t>
        </is>
      </c>
      <c r="S175">
        <f>IF(B175="","",IF(E175="已暴露","DEV_REG_ONLY","ANY"))</f>
        <v/>
      </c>
    </row>
    <row r="176">
      <c r="A176" s="20" t="n">
        <v>173</v>
      </c>
      <c r="B176" s="20" t="str"/>
      <c r="C176" s="20" t="str"/>
      <c r="D176" s="20" t="str"/>
      <c r="E176" s="20" t="str"/>
      <c r="F176" s="20" t="inlineStr">
        <is>
          <t>PENDING</t>
        </is>
      </c>
      <c r="G176" s="20" t="inlineStr">
        <is>
          <t>PENDING</t>
        </is>
      </c>
      <c r="H176" s="20" t="inlineStr">
        <is>
          <t>PENDING</t>
        </is>
      </c>
      <c r="I176" s="20" t="inlineStr">
        <is>
          <t>PENDING</t>
        </is>
      </c>
      <c r="J176" s="20" t="inlineStr">
        <is>
          <t>PENDING</t>
        </is>
      </c>
      <c r="K176" s="20" t="inlineStr">
        <is>
          <t>待确认</t>
        </is>
      </c>
      <c r="L176" s="20">
        <f>IF(B176="","",IF(OR(F176="FAIL",K176="泄漏"),"DROP",IF(G176="FAIL","RELABEL",IF(OR(H176="FAIL",I176="FAIL",J176="FAIL"),"REWORK",IF(COUNTIF(F176:J176,"PENDING")&gt;0,"PENDING","REUSE")))))</f>
        <v/>
      </c>
      <c r="M176" s="20" t="inlineStr">
        <is>
          <t>PENDING</t>
        </is>
      </c>
      <c r="N176" s="20" t="str"/>
      <c r="O176" s="20" t="str"/>
      <c r="P176" s="20" t="str"/>
      <c r="Q176" s="20" t="inlineStr">
        <is>
          <t>待确认</t>
        </is>
      </c>
      <c r="R176" s="20" t="inlineStr">
        <is>
          <t>未开始</t>
        </is>
      </c>
      <c r="S176">
        <f>IF(B176="","",IF(E176="已暴露","DEV_REG_ONLY","ANY"))</f>
        <v/>
      </c>
    </row>
    <row r="177">
      <c r="A177" s="20" t="n">
        <v>174</v>
      </c>
      <c r="B177" s="20" t="str"/>
      <c r="C177" s="20" t="str"/>
      <c r="D177" s="20" t="str"/>
      <c r="E177" s="20" t="str"/>
      <c r="F177" s="20" t="inlineStr">
        <is>
          <t>PENDING</t>
        </is>
      </c>
      <c r="G177" s="20" t="inlineStr">
        <is>
          <t>PENDING</t>
        </is>
      </c>
      <c r="H177" s="20" t="inlineStr">
        <is>
          <t>PENDING</t>
        </is>
      </c>
      <c r="I177" s="20" t="inlineStr">
        <is>
          <t>PENDING</t>
        </is>
      </c>
      <c r="J177" s="20" t="inlineStr">
        <is>
          <t>PENDING</t>
        </is>
      </c>
      <c r="K177" s="20" t="inlineStr">
        <is>
          <t>待确认</t>
        </is>
      </c>
      <c r="L177" s="20">
        <f>IF(B177="","",IF(OR(F177="FAIL",K177="泄漏"),"DROP",IF(G177="FAIL","RELABEL",IF(OR(H177="FAIL",I177="FAIL",J177="FAIL"),"REWORK",IF(COUNTIF(F177:J177,"PENDING")&gt;0,"PENDING","REUSE")))))</f>
        <v/>
      </c>
      <c r="M177" s="20" t="inlineStr">
        <is>
          <t>PENDING</t>
        </is>
      </c>
      <c r="N177" s="20" t="str"/>
      <c r="O177" s="20" t="str"/>
      <c r="P177" s="20" t="str"/>
      <c r="Q177" s="20" t="inlineStr">
        <is>
          <t>待确认</t>
        </is>
      </c>
      <c r="R177" s="20" t="inlineStr">
        <is>
          <t>未开始</t>
        </is>
      </c>
      <c r="S177">
        <f>IF(B177="","",IF(E177="已暴露","DEV_REG_ONLY","ANY"))</f>
        <v/>
      </c>
    </row>
    <row r="178">
      <c r="A178" s="20" t="n">
        <v>175</v>
      </c>
      <c r="B178" s="20" t="str"/>
      <c r="C178" s="20" t="str"/>
      <c r="D178" s="20" t="str"/>
      <c r="E178" s="20" t="str"/>
      <c r="F178" s="20" t="inlineStr">
        <is>
          <t>PENDING</t>
        </is>
      </c>
      <c r="G178" s="20" t="inlineStr">
        <is>
          <t>PENDING</t>
        </is>
      </c>
      <c r="H178" s="20" t="inlineStr">
        <is>
          <t>PENDING</t>
        </is>
      </c>
      <c r="I178" s="20" t="inlineStr">
        <is>
          <t>PENDING</t>
        </is>
      </c>
      <c r="J178" s="20" t="inlineStr">
        <is>
          <t>PENDING</t>
        </is>
      </c>
      <c r="K178" s="20" t="inlineStr">
        <is>
          <t>待确认</t>
        </is>
      </c>
      <c r="L178" s="20">
        <f>IF(B178="","",IF(OR(F178="FAIL",K178="泄漏"),"DROP",IF(G178="FAIL","RELABEL",IF(OR(H178="FAIL",I178="FAIL",J178="FAIL"),"REWORK",IF(COUNTIF(F178:J178,"PENDING")&gt;0,"PENDING","REUSE")))))</f>
        <v/>
      </c>
      <c r="M178" s="20" t="inlineStr">
        <is>
          <t>PENDING</t>
        </is>
      </c>
      <c r="N178" s="20" t="str"/>
      <c r="O178" s="20" t="str"/>
      <c r="P178" s="20" t="str"/>
      <c r="Q178" s="20" t="inlineStr">
        <is>
          <t>待确认</t>
        </is>
      </c>
      <c r="R178" s="20" t="inlineStr">
        <is>
          <t>未开始</t>
        </is>
      </c>
      <c r="S178">
        <f>IF(B178="","",IF(E178="已暴露","DEV_REG_ONLY","ANY"))</f>
        <v/>
      </c>
    </row>
    <row r="179">
      <c r="A179" s="20" t="n">
        <v>176</v>
      </c>
      <c r="B179" s="20" t="str"/>
      <c r="C179" s="20" t="str"/>
      <c r="D179" s="20" t="str"/>
      <c r="E179" s="20" t="str"/>
      <c r="F179" s="20" t="inlineStr">
        <is>
          <t>PENDING</t>
        </is>
      </c>
      <c r="G179" s="20" t="inlineStr">
        <is>
          <t>PENDING</t>
        </is>
      </c>
      <c r="H179" s="20" t="inlineStr">
        <is>
          <t>PENDING</t>
        </is>
      </c>
      <c r="I179" s="20" t="inlineStr">
        <is>
          <t>PENDING</t>
        </is>
      </c>
      <c r="J179" s="20" t="inlineStr">
        <is>
          <t>PENDING</t>
        </is>
      </c>
      <c r="K179" s="20" t="inlineStr">
        <is>
          <t>待确认</t>
        </is>
      </c>
      <c r="L179" s="20">
        <f>IF(B179="","",IF(OR(F179="FAIL",K179="泄漏"),"DROP",IF(G179="FAIL","RELABEL",IF(OR(H179="FAIL",I179="FAIL",J179="FAIL"),"REWORK",IF(COUNTIF(F179:J179,"PENDING")&gt;0,"PENDING","REUSE")))))</f>
        <v/>
      </c>
      <c r="M179" s="20" t="inlineStr">
        <is>
          <t>PENDING</t>
        </is>
      </c>
      <c r="N179" s="20" t="str"/>
      <c r="O179" s="20" t="str"/>
      <c r="P179" s="20" t="str"/>
      <c r="Q179" s="20" t="inlineStr">
        <is>
          <t>待确认</t>
        </is>
      </c>
      <c r="R179" s="20" t="inlineStr">
        <is>
          <t>未开始</t>
        </is>
      </c>
      <c r="S179">
        <f>IF(B179="","",IF(E179="已暴露","DEV_REG_ONLY","ANY"))</f>
        <v/>
      </c>
    </row>
    <row r="180">
      <c r="A180" s="20" t="n">
        <v>177</v>
      </c>
      <c r="B180" s="20" t="str"/>
      <c r="C180" s="20" t="str"/>
      <c r="D180" s="20" t="str"/>
      <c r="E180" s="20" t="str"/>
      <c r="F180" s="20" t="inlineStr">
        <is>
          <t>PENDING</t>
        </is>
      </c>
      <c r="G180" s="20" t="inlineStr">
        <is>
          <t>PENDING</t>
        </is>
      </c>
      <c r="H180" s="20" t="inlineStr">
        <is>
          <t>PENDING</t>
        </is>
      </c>
      <c r="I180" s="20" t="inlineStr">
        <is>
          <t>PENDING</t>
        </is>
      </c>
      <c r="J180" s="20" t="inlineStr">
        <is>
          <t>PENDING</t>
        </is>
      </c>
      <c r="K180" s="20" t="inlineStr">
        <is>
          <t>待确认</t>
        </is>
      </c>
      <c r="L180" s="20">
        <f>IF(B180="","",IF(OR(F180="FAIL",K180="泄漏"),"DROP",IF(G180="FAIL","RELABEL",IF(OR(H180="FAIL",I180="FAIL",J180="FAIL"),"REWORK",IF(COUNTIF(F180:J180,"PENDING")&gt;0,"PENDING","REUSE")))))</f>
        <v/>
      </c>
      <c r="M180" s="20" t="inlineStr">
        <is>
          <t>PENDING</t>
        </is>
      </c>
      <c r="N180" s="20" t="str"/>
      <c r="O180" s="20" t="str"/>
      <c r="P180" s="20" t="str"/>
      <c r="Q180" s="20" t="inlineStr">
        <is>
          <t>待确认</t>
        </is>
      </c>
      <c r="R180" s="20" t="inlineStr">
        <is>
          <t>未开始</t>
        </is>
      </c>
      <c r="S180">
        <f>IF(B180="","",IF(E180="已暴露","DEV_REG_ONLY","ANY"))</f>
        <v/>
      </c>
    </row>
    <row r="181">
      <c r="A181" s="20" t="n">
        <v>178</v>
      </c>
      <c r="B181" s="20" t="str"/>
      <c r="C181" s="20" t="str"/>
      <c r="D181" s="20" t="str"/>
      <c r="E181" s="20" t="str"/>
      <c r="F181" s="20" t="inlineStr">
        <is>
          <t>PENDING</t>
        </is>
      </c>
      <c r="G181" s="20" t="inlineStr">
        <is>
          <t>PENDING</t>
        </is>
      </c>
      <c r="H181" s="20" t="inlineStr">
        <is>
          <t>PENDING</t>
        </is>
      </c>
      <c r="I181" s="20" t="inlineStr">
        <is>
          <t>PENDING</t>
        </is>
      </c>
      <c r="J181" s="20" t="inlineStr">
        <is>
          <t>PENDING</t>
        </is>
      </c>
      <c r="K181" s="20" t="inlineStr">
        <is>
          <t>待确认</t>
        </is>
      </c>
      <c r="L181" s="20">
        <f>IF(B181="","",IF(OR(F181="FAIL",K181="泄漏"),"DROP",IF(G181="FAIL","RELABEL",IF(OR(H181="FAIL",I181="FAIL",J181="FAIL"),"REWORK",IF(COUNTIF(F181:J181,"PENDING")&gt;0,"PENDING","REUSE")))))</f>
        <v/>
      </c>
      <c r="M181" s="20" t="inlineStr">
        <is>
          <t>PENDING</t>
        </is>
      </c>
      <c r="N181" s="20" t="str"/>
      <c r="O181" s="20" t="str"/>
      <c r="P181" s="20" t="str"/>
      <c r="Q181" s="20" t="inlineStr">
        <is>
          <t>待确认</t>
        </is>
      </c>
      <c r="R181" s="20" t="inlineStr">
        <is>
          <t>未开始</t>
        </is>
      </c>
      <c r="S181">
        <f>IF(B181="","",IF(E181="已暴露","DEV_REG_ONLY","ANY"))</f>
        <v/>
      </c>
    </row>
    <row r="182">
      <c r="A182" s="20" t="n">
        <v>179</v>
      </c>
      <c r="B182" s="20" t="str"/>
      <c r="C182" s="20" t="str"/>
      <c r="D182" s="20" t="str"/>
      <c r="E182" s="20" t="str"/>
      <c r="F182" s="20" t="inlineStr">
        <is>
          <t>PENDING</t>
        </is>
      </c>
      <c r="G182" s="20" t="inlineStr">
        <is>
          <t>PENDING</t>
        </is>
      </c>
      <c r="H182" s="20" t="inlineStr">
        <is>
          <t>PENDING</t>
        </is>
      </c>
      <c r="I182" s="20" t="inlineStr">
        <is>
          <t>PENDING</t>
        </is>
      </c>
      <c r="J182" s="20" t="inlineStr">
        <is>
          <t>PENDING</t>
        </is>
      </c>
      <c r="K182" s="20" t="inlineStr">
        <is>
          <t>待确认</t>
        </is>
      </c>
      <c r="L182" s="20">
        <f>IF(B182="","",IF(OR(F182="FAIL",K182="泄漏"),"DROP",IF(G182="FAIL","RELABEL",IF(OR(H182="FAIL",I182="FAIL",J182="FAIL"),"REWORK",IF(COUNTIF(F182:J182,"PENDING")&gt;0,"PENDING","REUSE")))))</f>
        <v/>
      </c>
      <c r="M182" s="20" t="inlineStr">
        <is>
          <t>PENDING</t>
        </is>
      </c>
      <c r="N182" s="20" t="str"/>
      <c r="O182" s="20" t="str"/>
      <c r="P182" s="20" t="str"/>
      <c r="Q182" s="20" t="inlineStr">
        <is>
          <t>待确认</t>
        </is>
      </c>
      <c r="R182" s="20" t="inlineStr">
        <is>
          <t>未开始</t>
        </is>
      </c>
      <c r="S182">
        <f>IF(B182="","",IF(E182="已暴露","DEV_REG_ONLY","ANY"))</f>
        <v/>
      </c>
    </row>
    <row r="183">
      <c r="A183" s="20" t="n">
        <v>180</v>
      </c>
      <c r="B183" s="20" t="str"/>
      <c r="C183" s="20" t="str"/>
      <c r="D183" s="20" t="str"/>
      <c r="E183" s="20" t="str"/>
      <c r="F183" s="20" t="inlineStr">
        <is>
          <t>PENDING</t>
        </is>
      </c>
      <c r="G183" s="20" t="inlineStr">
        <is>
          <t>PENDING</t>
        </is>
      </c>
      <c r="H183" s="20" t="inlineStr">
        <is>
          <t>PENDING</t>
        </is>
      </c>
      <c r="I183" s="20" t="inlineStr">
        <is>
          <t>PENDING</t>
        </is>
      </c>
      <c r="J183" s="20" t="inlineStr">
        <is>
          <t>PENDING</t>
        </is>
      </c>
      <c r="K183" s="20" t="inlineStr">
        <is>
          <t>待确认</t>
        </is>
      </c>
      <c r="L183" s="20">
        <f>IF(B183="","",IF(OR(F183="FAIL",K183="泄漏"),"DROP",IF(G183="FAIL","RELABEL",IF(OR(H183="FAIL",I183="FAIL",J183="FAIL"),"REWORK",IF(COUNTIF(F183:J183,"PENDING")&gt;0,"PENDING","REUSE")))))</f>
        <v/>
      </c>
      <c r="M183" s="20" t="inlineStr">
        <is>
          <t>PENDING</t>
        </is>
      </c>
      <c r="N183" s="20" t="str"/>
      <c r="O183" s="20" t="str"/>
      <c r="P183" s="20" t="str"/>
      <c r="Q183" s="20" t="inlineStr">
        <is>
          <t>待确认</t>
        </is>
      </c>
      <c r="R183" s="20" t="inlineStr">
        <is>
          <t>未开始</t>
        </is>
      </c>
      <c r="S183">
        <f>IF(B183="","",IF(E183="已暴露","DEV_REG_ONLY","ANY"))</f>
        <v/>
      </c>
    </row>
    <row r="184">
      <c r="A184" s="20" t="n">
        <v>181</v>
      </c>
      <c r="B184" s="20" t="str"/>
      <c r="C184" s="20" t="str"/>
      <c r="D184" s="20" t="str"/>
      <c r="E184" s="20" t="str"/>
      <c r="F184" s="20" t="inlineStr">
        <is>
          <t>PENDING</t>
        </is>
      </c>
      <c r="G184" s="20" t="inlineStr">
        <is>
          <t>PENDING</t>
        </is>
      </c>
      <c r="H184" s="20" t="inlineStr">
        <is>
          <t>PENDING</t>
        </is>
      </c>
      <c r="I184" s="20" t="inlineStr">
        <is>
          <t>PENDING</t>
        </is>
      </c>
      <c r="J184" s="20" t="inlineStr">
        <is>
          <t>PENDING</t>
        </is>
      </c>
      <c r="K184" s="20" t="inlineStr">
        <is>
          <t>待确认</t>
        </is>
      </c>
      <c r="L184" s="20">
        <f>IF(B184="","",IF(OR(F184="FAIL",K184="泄漏"),"DROP",IF(G184="FAIL","RELABEL",IF(OR(H184="FAIL",I184="FAIL",J184="FAIL"),"REWORK",IF(COUNTIF(F184:J184,"PENDING")&gt;0,"PENDING","REUSE")))))</f>
        <v/>
      </c>
      <c r="M184" s="20" t="inlineStr">
        <is>
          <t>PENDING</t>
        </is>
      </c>
      <c r="N184" s="20" t="str"/>
      <c r="O184" s="20" t="str"/>
      <c r="P184" s="20" t="str"/>
      <c r="Q184" s="20" t="inlineStr">
        <is>
          <t>待确认</t>
        </is>
      </c>
      <c r="R184" s="20" t="inlineStr">
        <is>
          <t>未开始</t>
        </is>
      </c>
      <c r="S184">
        <f>IF(B184="","",IF(E184="已暴露","DEV_REG_ONLY","ANY"))</f>
        <v/>
      </c>
    </row>
    <row r="185">
      <c r="A185" s="20" t="n">
        <v>182</v>
      </c>
      <c r="B185" s="20" t="str"/>
      <c r="C185" s="20" t="str"/>
      <c r="D185" s="20" t="str"/>
      <c r="E185" s="20" t="str"/>
      <c r="F185" s="20" t="inlineStr">
        <is>
          <t>PENDING</t>
        </is>
      </c>
      <c r="G185" s="20" t="inlineStr">
        <is>
          <t>PENDING</t>
        </is>
      </c>
      <c r="H185" s="20" t="inlineStr">
        <is>
          <t>PENDING</t>
        </is>
      </c>
      <c r="I185" s="20" t="inlineStr">
        <is>
          <t>PENDING</t>
        </is>
      </c>
      <c r="J185" s="20" t="inlineStr">
        <is>
          <t>PENDING</t>
        </is>
      </c>
      <c r="K185" s="20" t="inlineStr">
        <is>
          <t>待确认</t>
        </is>
      </c>
      <c r="L185" s="20">
        <f>IF(B185="","",IF(OR(F185="FAIL",K185="泄漏"),"DROP",IF(G185="FAIL","RELABEL",IF(OR(H185="FAIL",I185="FAIL",J185="FAIL"),"REWORK",IF(COUNTIF(F185:J185,"PENDING")&gt;0,"PENDING","REUSE")))))</f>
        <v/>
      </c>
      <c r="M185" s="20" t="inlineStr">
        <is>
          <t>PENDING</t>
        </is>
      </c>
      <c r="N185" s="20" t="str"/>
      <c r="O185" s="20" t="str"/>
      <c r="P185" s="20" t="str"/>
      <c r="Q185" s="20" t="inlineStr">
        <is>
          <t>待确认</t>
        </is>
      </c>
      <c r="R185" s="20" t="inlineStr">
        <is>
          <t>未开始</t>
        </is>
      </c>
      <c r="S185">
        <f>IF(B185="","",IF(E185="已暴露","DEV_REG_ONLY","ANY"))</f>
        <v/>
      </c>
    </row>
    <row r="186">
      <c r="A186" s="20" t="n">
        <v>183</v>
      </c>
      <c r="B186" s="20" t="str"/>
      <c r="C186" s="20" t="str"/>
      <c r="D186" s="20" t="str"/>
      <c r="E186" s="20" t="str"/>
      <c r="F186" s="20" t="inlineStr">
        <is>
          <t>PENDING</t>
        </is>
      </c>
      <c r="G186" s="20" t="inlineStr">
        <is>
          <t>PENDING</t>
        </is>
      </c>
      <c r="H186" s="20" t="inlineStr">
        <is>
          <t>PENDING</t>
        </is>
      </c>
      <c r="I186" s="20" t="inlineStr">
        <is>
          <t>PENDING</t>
        </is>
      </c>
      <c r="J186" s="20" t="inlineStr">
        <is>
          <t>PENDING</t>
        </is>
      </c>
      <c r="K186" s="20" t="inlineStr">
        <is>
          <t>待确认</t>
        </is>
      </c>
      <c r="L186" s="20">
        <f>IF(B186="","",IF(OR(F186="FAIL",K186="泄漏"),"DROP",IF(G186="FAIL","RELABEL",IF(OR(H186="FAIL",I186="FAIL",J186="FAIL"),"REWORK",IF(COUNTIF(F186:J186,"PENDING")&gt;0,"PENDING","REUSE")))))</f>
        <v/>
      </c>
      <c r="M186" s="20" t="inlineStr">
        <is>
          <t>PENDING</t>
        </is>
      </c>
      <c r="N186" s="20" t="str"/>
      <c r="O186" s="20" t="str"/>
      <c r="P186" s="20" t="str"/>
      <c r="Q186" s="20" t="inlineStr">
        <is>
          <t>待确认</t>
        </is>
      </c>
      <c r="R186" s="20" t="inlineStr">
        <is>
          <t>未开始</t>
        </is>
      </c>
      <c r="S186">
        <f>IF(B186="","",IF(E186="已暴露","DEV_REG_ONLY","ANY"))</f>
        <v/>
      </c>
    </row>
    <row r="187">
      <c r="A187" s="20" t="n">
        <v>184</v>
      </c>
      <c r="B187" s="20" t="str"/>
      <c r="C187" s="20" t="str"/>
      <c r="D187" s="20" t="str"/>
      <c r="E187" s="20" t="str"/>
      <c r="F187" s="20" t="inlineStr">
        <is>
          <t>PENDING</t>
        </is>
      </c>
      <c r="G187" s="20" t="inlineStr">
        <is>
          <t>PENDING</t>
        </is>
      </c>
      <c r="H187" s="20" t="inlineStr">
        <is>
          <t>PENDING</t>
        </is>
      </c>
      <c r="I187" s="20" t="inlineStr">
        <is>
          <t>PENDING</t>
        </is>
      </c>
      <c r="J187" s="20" t="inlineStr">
        <is>
          <t>PENDING</t>
        </is>
      </c>
      <c r="K187" s="20" t="inlineStr">
        <is>
          <t>待确认</t>
        </is>
      </c>
      <c r="L187" s="20">
        <f>IF(B187="","",IF(OR(F187="FAIL",K187="泄漏"),"DROP",IF(G187="FAIL","RELABEL",IF(OR(H187="FAIL",I187="FAIL",J187="FAIL"),"REWORK",IF(COUNTIF(F187:J187,"PENDING")&gt;0,"PENDING","REUSE")))))</f>
        <v/>
      </c>
      <c r="M187" s="20" t="inlineStr">
        <is>
          <t>PENDING</t>
        </is>
      </c>
      <c r="N187" s="20" t="str"/>
      <c r="O187" s="20" t="str"/>
      <c r="P187" s="20" t="str"/>
      <c r="Q187" s="20" t="inlineStr">
        <is>
          <t>待确认</t>
        </is>
      </c>
      <c r="R187" s="20" t="inlineStr">
        <is>
          <t>未开始</t>
        </is>
      </c>
      <c r="S187">
        <f>IF(B187="","",IF(E187="已暴露","DEV_REG_ONLY","ANY"))</f>
        <v/>
      </c>
    </row>
    <row r="188">
      <c r="A188" s="20" t="n">
        <v>185</v>
      </c>
      <c r="B188" s="20" t="str"/>
      <c r="C188" s="20" t="str"/>
      <c r="D188" s="20" t="str"/>
      <c r="E188" s="20" t="str"/>
      <c r="F188" s="20" t="inlineStr">
        <is>
          <t>PENDING</t>
        </is>
      </c>
      <c r="G188" s="20" t="inlineStr">
        <is>
          <t>PENDING</t>
        </is>
      </c>
      <c r="H188" s="20" t="inlineStr">
        <is>
          <t>PENDING</t>
        </is>
      </c>
      <c r="I188" s="20" t="inlineStr">
        <is>
          <t>PENDING</t>
        </is>
      </c>
      <c r="J188" s="20" t="inlineStr">
        <is>
          <t>PENDING</t>
        </is>
      </c>
      <c r="K188" s="20" t="inlineStr">
        <is>
          <t>待确认</t>
        </is>
      </c>
      <c r="L188" s="20">
        <f>IF(B188="","",IF(OR(F188="FAIL",K188="泄漏"),"DROP",IF(G188="FAIL","RELABEL",IF(OR(H188="FAIL",I188="FAIL",J188="FAIL"),"REWORK",IF(COUNTIF(F188:J188,"PENDING")&gt;0,"PENDING","REUSE")))))</f>
        <v/>
      </c>
      <c r="M188" s="20" t="inlineStr">
        <is>
          <t>PENDING</t>
        </is>
      </c>
      <c r="N188" s="20" t="str"/>
      <c r="O188" s="20" t="str"/>
      <c r="P188" s="20" t="str"/>
      <c r="Q188" s="20" t="inlineStr">
        <is>
          <t>待确认</t>
        </is>
      </c>
      <c r="R188" s="20" t="inlineStr">
        <is>
          <t>未开始</t>
        </is>
      </c>
      <c r="S188">
        <f>IF(B188="","",IF(E188="已暴露","DEV_REG_ONLY","ANY"))</f>
        <v/>
      </c>
    </row>
    <row r="189">
      <c r="A189" s="20" t="n">
        <v>186</v>
      </c>
      <c r="B189" s="20" t="str"/>
      <c r="C189" s="20" t="str"/>
      <c r="D189" s="20" t="str"/>
      <c r="E189" s="20" t="str"/>
      <c r="F189" s="20" t="inlineStr">
        <is>
          <t>PENDING</t>
        </is>
      </c>
      <c r="G189" s="20" t="inlineStr">
        <is>
          <t>PENDING</t>
        </is>
      </c>
      <c r="H189" s="20" t="inlineStr">
        <is>
          <t>PENDING</t>
        </is>
      </c>
      <c r="I189" s="20" t="inlineStr">
        <is>
          <t>PENDING</t>
        </is>
      </c>
      <c r="J189" s="20" t="inlineStr">
        <is>
          <t>PENDING</t>
        </is>
      </c>
      <c r="K189" s="20" t="inlineStr">
        <is>
          <t>待确认</t>
        </is>
      </c>
      <c r="L189" s="20">
        <f>IF(B189="","",IF(OR(F189="FAIL",K189="泄漏"),"DROP",IF(G189="FAIL","RELABEL",IF(OR(H189="FAIL",I189="FAIL",J189="FAIL"),"REWORK",IF(COUNTIF(F189:J189,"PENDING")&gt;0,"PENDING","REUSE")))))</f>
        <v/>
      </c>
      <c r="M189" s="20" t="inlineStr">
        <is>
          <t>PENDING</t>
        </is>
      </c>
      <c r="N189" s="20" t="str"/>
      <c r="O189" s="20" t="str"/>
      <c r="P189" s="20" t="str"/>
      <c r="Q189" s="20" t="inlineStr">
        <is>
          <t>待确认</t>
        </is>
      </c>
      <c r="R189" s="20" t="inlineStr">
        <is>
          <t>未开始</t>
        </is>
      </c>
      <c r="S189">
        <f>IF(B189="","",IF(E189="已暴露","DEV_REG_ONLY","ANY"))</f>
        <v/>
      </c>
    </row>
    <row r="190">
      <c r="A190" s="20" t="n">
        <v>187</v>
      </c>
      <c r="B190" s="20" t="str"/>
      <c r="C190" s="20" t="str"/>
      <c r="D190" s="20" t="str"/>
      <c r="E190" s="20" t="str"/>
      <c r="F190" s="20" t="inlineStr">
        <is>
          <t>PENDING</t>
        </is>
      </c>
      <c r="G190" s="20" t="inlineStr">
        <is>
          <t>PENDING</t>
        </is>
      </c>
      <c r="H190" s="20" t="inlineStr">
        <is>
          <t>PENDING</t>
        </is>
      </c>
      <c r="I190" s="20" t="inlineStr">
        <is>
          <t>PENDING</t>
        </is>
      </c>
      <c r="J190" s="20" t="inlineStr">
        <is>
          <t>PENDING</t>
        </is>
      </c>
      <c r="K190" s="20" t="inlineStr">
        <is>
          <t>待确认</t>
        </is>
      </c>
      <c r="L190" s="20">
        <f>IF(B190="","",IF(OR(F190="FAIL",K190="泄漏"),"DROP",IF(G190="FAIL","RELABEL",IF(OR(H190="FAIL",I190="FAIL",J190="FAIL"),"REWORK",IF(COUNTIF(F190:J190,"PENDING")&gt;0,"PENDING","REUSE")))))</f>
        <v/>
      </c>
      <c r="M190" s="20" t="inlineStr">
        <is>
          <t>PENDING</t>
        </is>
      </c>
      <c r="N190" s="20" t="str"/>
      <c r="O190" s="20" t="str"/>
      <c r="P190" s="20" t="str"/>
      <c r="Q190" s="20" t="inlineStr">
        <is>
          <t>待确认</t>
        </is>
      </c>
      <c r="R190" s="20" t="inlineStr">
        <is>
          <t>未开始</t>
        </is>
      </c>
      <c r="S190">
        <f>IF(B190="","",IF(E190="已暴露","DEV_REG_ONLY","ANY"))</f>
        <v/>
      </c>
    </row>
    <row r="191">
      <c r="A191" s="20" t="n">
        <v>188</v>
      </c>
      <c r="B191" s="20" t="str"/>
      <c r="C191" s="20" t="str"/>
      <c r="D191" s="20" t="str"/>
      <c r="E191" s="20" t="str"/>
      <c r="F191" s="20" t="inlineStr">
        <is>
          <t>PENDING</t>
        </is>
      </c>
      <c r="G191" s="20" t="inlineStr">
        <is>
          <t>PENDING</t>
        </is>
      </c>
      <c r="H191" s="20" t="inlineStr">
        <is>
          <t>PENDING</t>
        </is>
      </c>
      <c r="I191" s="20" t="inlineStr">
        <is>
          <t>PENDING</t>
        </is>
      </c>
      <c r="J191" s="20" t="inlineStr">
        <is>
          <t>PENDING</t>
        </is>
      </c>
      <c r="K191" s="20" t="inlineStr">
        <is>
          <t>待确认</t>
        </is>
      </c>
      <c r="L191" s="20">
        <f>IF(B191="","",IF(OR(F191="FAIL",K191="泄漏"),"DROP",IF(G191="FAIL","RELABEL",IF(OR(H191="FAIL",I191="FAIL",J191="FAIL"),"REWORK",IF(COUNTIF(F191:J191,"PENDING")&gt;0,"PENDING","REUSE")))))</f>
        <v/>
      </c>
      <c r="M191" s="20" t="inlineStr">
        <is>
          <t>PENDING</t>
        </is>
      </c>
      <c r="N191" s="20" t="str"/>
      <c r="O191" s="20" t="str"/>
      <c r="P191" s="20" t="str"/>
      <c r="Q191" s="20" t="inlineStr">
        <is>
          <t>待确认</t>
        </is>
      </c>
      <c r="R191" s="20" t="inlineStr">
        <is>
          <t>未开始</t>
        </is>
      </c>
      <c r="S191">
        <f>IF(B191="","",IF(E191="已暴露","DEV_REG_ONLY","ANY"))</f>
        <v/>
      </c>
    </row>
    <row r="192">
      <c r="A192" s="20" t="n">
        <v>189</v>
      </c>
      <c r="B192" s="20" t="str"/>
      <c r="C192" s="20" t="str"/>
      <c r="D192" s="20" t="str"/>
      <c r="E192" s="20" t="str"/>
      <c r="F192" s="20" t="inlineStr">
        <is>
          <t>PENDING</t>
        </is>
      </c>
      <c r="G192" s="20" t="inlineStr">
        <is>
          <t>PENDING</t>
        </is>
      </c>
      <c r="H192" s="20" t="inlineStr">
        <is>
          <t>PENDING</t>
        </is>
      </c>
      <c r="I192" s="20" t="inlineStr">
        <is>
          <t>PENDING</t>
        </is>
      </c>
      <c r="J192" s="20" t="inlineStr">
        <is>
          <t>PENDING</t>
        </is>
      </c>
      <c r="K192" s="20" t="inlineStr">
        <is>
          <t>待确认</t>
        </is>
      </c>
      <c r="L192" s="20">
        <f>IF(B192="","",IF(OR(F192="FAIL",K192="泄漏"),"DROP",IF(G192="FAIL","RELABEL",IF(OR(H192="FAIL",I192="FAIL",J192="FAIL"),"REWORK",IF(COUNTIF(F192:J192,"PENDING")&gt;0,"PENDING","REUSE")))))</f>
        <v/>
      </c>
      <c r="M192" s="20" t="inlineStr">
        <is>
          <t>PENDING</t>
        </is>
      </c>
      <c r="N192" s="20" t="str"/>
      <c r="O192" s="20" t="str"/>
      <c r="P192" s="20" t="str"/>
      <c r="Q192" s="20" t="inlineStr">
        <is>
          <t>待确认</t>
        </is>
      </c>
      <c r="R192" s="20" t="inlineStr">
        <is>
          <t>未开始</t>
        </is>
      </c>
      <c r="S192">
        <f>IF(B192="","",IF(E192="已暴露","DEV_REG_ONLY","ANY"))</f>
        <v/>
      </c>
    </row>
    <row r="193">
      <c r="A193" s="20" t="n">
        <v>190</v>
      </c>
      <c r="B193" s="20" t="str"/>
      <c r="C193" s="20" t="str"/>
      <c r="D193" s="20" t="str"/>
      <c r="E193" s="20" t="str"/>
      <c r="F193" s="20" t="inlineStr">
        <is>
          <t>PENDING</t>
        </is>
      </c>
      <c r="G193" s="20" t="inlineStr">
        <is>
          <t>PENDING</t>
        </is>
      </c>
      <c r="H193" s="20" t="inlineStr">
        <is>
          <t>PENDING</t>
        </is>
      </c>
      <c r="I193" s="20" t="inlineStr">
        <is>
          <t>PENDING</t>
        </is>
      </c>
      <c r="J193" s="20" t="inlineStr">
        <is>
          <t>PENDING</t>
        </is>
      </c>
      <c r="K193" s="20" t="inlineStr">
        <is>
          <t>待确认</t>
        </is>
      </c>
      <c r="L193" s="20">
        <f>IF(B193="","",IF(OR(F193="FAIL",K193="泄漏"),"DROP",IF(G193="FAIL","RELABEL",IF(OR(H193="FAIL",I193="FAIL",J193="FAIL"),"REWORK",IF(COUNTIF(F193:J193,"PENDING")&gt;0,"PENDING","REUSE")))))</f>
        <v/>
      </c>
      <c r="M193" s="20" t="inlineStr">
        <is>
          <t>PENDING</t>
        </is>
      </c>
      <c r="N193" s="20" t="str"/>
      <c r="O193" s="20" t="str"/>
      <c r="P193" s="20" t="str"/>
      <c r="Q193" s="20" t="inlineStr">
        <is>
          <t>待确认</t>
        </is>
      </c>
      <c r="R193" s="20" t="inlineStr">
        <is>
          <t>未开始</t>
        </is>
      </c>
      <c r="S193">
        <f>IF(B193="","",IF(E193="已暴露","DEV_REG_ONLY","ANY"))</f>
        <v/>
      </c>
    </row>
    <row r="194">
      <c r="A194" s="20" t="n">
        <v>191</v>
      </c>
      <c r="B194" s="20" t="str"/>
      <c r="C194" s="20" t="str"/>
      <c r="D194" s="20" t="str"/>
      <c r="E194" s="20" t="str"/>
      <c r="F194" s="20" t="inlineStr">
        <is>
          <t>PENDING</t>
        </is>
      </c>
      <c r="G194" s="20" t="inlineStr">
        <is>
          <t>PENDING</t>
        </is>
      </c>
      <c r="H194" s="20" t="inlineStr">
        <is>
          <t>PENDING</t>
        </is>
      </c>
      <c r="I194" s="20" t="inlineStr">
        <is>
          <t>PENDING</t>
        </is>
      </c>
      <c r="J194" s="20" t="inlineStr">
        <is>
          <t>PENDING</t>
        </is>
      </c>
      <c r="K194" s="20" t="inlineStr">
        <is>
          <t>待确认</t>
        </is>
      </c>
      <c r="L194" s="20">
        <f>IF(B194="","",IF(OR(F194="FAIL",K194="泄漏"),"DROP",IF(G194="FAIL","RELABEL",IF(OR(H194="FAIL",I194="FAIL",J194="FAIL"),"REWORK",IF(COUNTIF(F194:J194,"PENDING")&gt;0,"PENDING","REUSE")))))</f>
        <v/>
      </c>
      <c r="M194" s="20" t="inlineStr">
        <is>
          <t>PENDING</t>
        </is>
      </c>
      <c r="N194" s="20" t="str"/>
      <c r="O194" s="20" t="str"/>
      <c r="P194" s="20" t="str"/>
      <c r="Q194" s="20" t="inlineStr">
        <is>
          <t>待确认</t>
        </is>
      </c>
      <c r="R194" s="20" t="inlineStr">
        <is>
          <t>未开始</t>
        </is>
      </c>
      <c r="S194">
        <f>IF(B194="","",IF(E194="已暴露","DEV_REG_ONLY","ANY"))</f>
        <v/>
      </c>
    </row>
    <row r="195">
      <c r="A195" s="20" t="n">
        <v>192</v>
      </c>
      <c r="B195" s="20" t="str"/>
      <c r="C195" s="20" t="str"/>
      <c r="D195" s="20" t="str"/>
      <c r="E195" s="20" t="str"/>
      <c r="F195" s="20" t="inlineStr">
        <is>
          <t>PENDING</t>
        </is>
      </c>
      <c r="G195" s="20" t="inlineStr">
        <is>
          <t>PENDING</t>
        </is>
      </c>
      <c r="H195" s="20" t="inlineStr">
        <is>
          <t>PENDING</t>
        </is>
      </c>
      <c r="I195" s="20" t="inlineStr">
        <is>
          <t>PENDING</t>
        </is>
      </c>
      <c r="J195" s="20" t="inlineStr">
        <is>
          <t>PENDING</t>
        </is>
      </c>
      <c r="K195" s="20" t="inlineStr">
        <is>
          <t>待确认</t>
        </is>
      </c>
      <c r="L195" s="20">
        <f>IF(B195="","",IF(OR(F195="FAIL",K195="泄漏"),"DROP",IF(G195="FAIL","RELABEL",IF(OR(H195="FAIL",I195="FAIL",J195="FAIL"),"REWORK",IF(COUNTIF(F195:J195,"PENDING")&gt;0,"PENDING","REUSE")))))</f>
        <v/>
      </c>
      <c r="M195" s="20" t="inlineStr">
        <is>
          <t>PENDING</t>
        </is>
      </c>
      <c r="N195" s="20" t="str"/>
      <c r="O195" s="20" t="str"/>
      <c r="P195" s="20" t="str"/>
      <c r="Q195" s="20" t="inlineStr">
        <is>
          <t>待确认</t>
        </is>
      </c>
      <c r="R195" s="20" t="inlineStr">
        <is>
          <t>未开始</t>
        </is>
      </c>
      <c r="S195">
        <f>IF(B195="","",IF(E195="已暴露","DEV_REG_ONLY","ANY"))</f>
        <v/>
      </c>
    </row>
    <row r="196">
      <c r="A196" s="20" t="n">
        <v>193</v>
      </c>
      <c r="B196" s="20" t="str"/>
      <c r="C196" s="20" t="str"/>
      <c r="D196" s="20" t="str"/>
      <c r="E196" s="20" t="str"/>
      <c r="F196" s="20" t="inlineStr">
        <is>
          <t>PENDING</t>
        </is>
      </c>
      <c r="G196" s="20" t="inlineStr">
        <is>
          <t>PENDING</t>
        </is>
      </c>
      <c r="H196" s="20" t="inlineStr">
        <is>
          <t>PENDING</t>
        </is>
      </c>
      <c r="I196" s="20" t="inlineStr">
        <is>
          <t>PENDING</t>
        </is>
      </c>
      <c r="J196" s="20" t="inlineStr">
        <is>
          <t>PENDING</t>
        </is>
      </c>
      <c r="K196" s="20" t="inlineStr">
        <is>
          <t>待确认</t>
        </is>
      </c>
      <c r="L196" s="20">
        <f>IF(B196="","",IF(OR(F196="FAIL",K196="泄漏"),"DROP",IF(G196="FAIL","RELABEL",IF(OR(H196="FAIL",I196="FAIL",J196="FAIL"),"REWORK",IF(COUNTIF(F196:J196,"PENDING")&gt;0,"PENDING","REUSE")))))</f>
        <v/>
      </c>
      <c r="M196" s="20" t="inlineStr">
        <is>
          <t>PENDING</t>
        </is>
      </c>
      <c r="N196" s="20" t="str"/>
      <c r="O196" s="20" t="str"/>
      <c r="P196" s="20" t="str"/>
      <c r="Q196" s="20" t="inlineStr">
        <is>
          <t>待确认</t>
        </is>
      </c>
      <c r="R196" s="20" t="inlineStr">
        <is>
          <t>未开始</t>
        </is>
      </c>
      <c r="S196">
        <f>IF(B196="","",IF(E196="已暴露","DEV_REG_ONLY","ANY"))</f>
        <v/>
      </c>
    </row>
    <row r="197">
      <c r="A197" s="20" t="n">
        <v>194</v>
      </c>
      <c r="B197" s="20" t="str"/>
      <c r="C197" s="20" t="str"/>
      <c r="D197" s="20" t="str"/>
      <c r="E197" s="20" t="str"/>
      <c r="F197" s="20" t="inlineStr">
        <is>
          <t>PENDING</t>
        </is>
      </c>
      <c r="G197" s="20" t="inlineStr">
        <is>
          <t>PENDING</t>
        </is>
      </c>
      <c r="H197" s="20" t="inlineStr">
        <is>
          <t>PENDING</t>
        </is>
      </c>
      <c r="I197" s="20" t="inlineStr">
        <is>
          <t>PENDING</t>
        </is>
      </c>
      <c r="J197" s="20" t="inlineStr">
        <is>
          <t>PENDING</t>
        </is>
      </c>
      <c r="K197" s="20" t="inlineStr">
        <is>
          <t>待确认</t>
        </is>
      </c>
      <c r="L197" s="20">
        <f>IF(B197="","",IF(OR(F197="FAIL",K197="泄漏"),"DROP",IF(G197="FAIL","RELABEL",IF(OR(H197="FAIL",I197="FAIL",J197="FAIL"),"REWORK",IF(COUNTIF(F197:J197,"PENDING")&gt;0,"PENDING","REUSE")))))</f>
        <v/>
      </c>
      <c r="M197" s="20" t="inlineStr">
        <is>
          <t>PENDING</t>
        </is>
      </c>
      <c r="N197" s="20" t="str"/>
      <c r="O197" s="20" t="str"/>
      <c r="P197" s="20" t="str"/>
      <c r="Q197" s="20" t="inlineStr">
        <is>
          <t>待确认</t>
        </is>
      </c>
      <c r="R197" s="20" t="inlineStr">
        <is>
          <t>未开始</t>
        </is>
      </c>
      <c r="S197">
        <f>IF(B197="","",IF(E197="已暴露","DEV_REG_ONLY","ANY"))</f>
        <v/>
      </c>
    </row>
    <row r="198">
      <c r="A198" s="20" t="n">
        <v>195</v>
      </c>
      <c r="B198" s="20" t="str"/>
      <c r="C198" s="20" t="str"/>
      <c r="D198" s="20" t="str"/>
      <c r="E198" s="20" t="str"/>
      <c r="F198" s="20" t="inlineStr">
        <is>
          <t>PENDING</t>
        </is>
      </c>
      <c r="G198" s="20" t="inlineStr">
        <is>
          <t>PENDING</t>
        </is>
      </c>
      <c r="H198" s="20" t="inlineStr">
        <is>
          <t>PENDING</t>
        </is>
      </c>
      <c r="I198" s="20" t="inlineStr">
        <is>
          <t>PENDING</t>
        </is>
      </c>
      <c r="J198" s="20" t="inlineStr">
        <is>
          <t>PENDING</t>
        </is>
      </c>
      <c r="K198" s="20" t="inlineStr">
        <is>
          <t>待确认</t>
        </is>
      </c>
      <c r="L198" s="20">
        <f>IF(B198="","",IF(OR(F198="FAIL",K198="泄漏"),"DROP",IF(G198="FAIL","RELABEL",IF(OR(H198="FAIL",I198="FAIL",J198="FAIL"),"REWORK",IF(COUNTIF(F198:J198,"PENDING")&gt;0,"PENDING","REUSE")))))</f>
        <v/>
      </c>
      <c r="M198" s="20" t="inlineStr">
        <is>
          <t>PENDING</t>
        </is>
      </c>
      <c r="N198" s="20" t="str"/>
      <c r="O198" s="20" t="str"/>
      <c r="P198" s="20" t="str"/>
      <c r="Q198" s="20" t="inlineStr">
        <is>
          <t>待确认</t>
        </is>
      </c>
      <c r="R198" s="20" t="inlineStr">
        <is>
          <t>未开始</t>
        </is>
      </c>
      <c r="S198">
        <f>IF(B198="","",IF(E198="已暴露","DEV_REG_ONLY","ANY"))</f>
        <v/>
      </c>
    </row>
    <row r="199">
      <c r="A199" s="20" t="n">
        <v>196</v>
      </c>
      <c r="B199" s="20" t="str"/>
      <c r="C199" s="20" t="str"/>
      <c r="D199" s="20" t="str"/>
      <c r="E199" s="20" t="str"/>
      <c r="F199" s="20" t="inlineStr">
        <is>
          <t>PENDING</t>
        </is>
      </c>
      <c r="G199" s="20" t="inlineStr">
        <is>
          <t>PENDING</t>
        </is>
      </c>
      <c r="H199" s="20" t="inlineStr">
        <is>
          <t>PENDING</t>
        </is>
      </c>
      <c r="I199" s="20" t="inlineStr">
        <is>
          <t>PENDING</t>
        </is>
      </c>
      <c r="J199" s="20" t="inlineStr">
        <is>
          <t>PENDING</t>
        </is>
      </c>
      <c r="K199" s="20" t="inlineStr">
        <is>
          <t>待确认</t>
        </is>
      </c>
      <c r="L199" s="20">
        <f>IF(B199="","",IF(OR(F199="FAIL",K199="泄漏"),"DROP",IF(G199="FAIL","RELABEL",IF(OR(H199="FAIL",I199="FAIL",J199="FAIL"),"REWORK",IF(COUNTIF(F199:J199,"PENDING")&gt;0,"PENDING","REUSE")))))</f>
        <v/>
      </c>
      <c r="M199" s="20" t="inlineStr">
        <is>
          <t>PENDING</t>
        </is>
      </c>
      <c r="N199" s="20" t="str"/>
      <c r="O199" s="20" t="str"/>
      <c r="P199" s="20" t="str"/>
      <c r="Q199" s="20" t="inlineStr">
        <is>
          <t>待确认</t>
        </is>
      </c>
      <c r="R199" s="20" t="inlineStr">
        <is>
          <t>未开始</t>
        </is>
      </c>
      <c r="S199">
        <f>IF(B199="","",IF(E199="已暴露","DEV_REG_ONLY","ANY"))</f>
        <v/>
      </c>
    </row>
    <row r="200">
      <c r="A200" s="20" t="n">
        <v>197</v>
      </c>
      <c r="B200" s="20" t="str"/>
      <c r="C200" s="20" t="str"/>
      <c r="D200" s="20" t="str"/>
      <c r="E200" s="20" t="str"/>
      <c r="F200" s="20" t="inlineStr">
        <is>
          <t>PENDING</t>
        </is>
      </c>
      <c r="G200" s="20" t="inlineStr">
        <is>
          <t>PENDING</t>
        </is>
      </c>
      <c r="H200" s="20" t="inlineStr">
        <is>
          <t>PENDING</t>
        </is>
      </c>
      <c r="I200" s="20" t="inlineStr">
        <is>
          <t>PENDING</t>
        </is>
      </c>
      <c r="J200" s="20" t="inlineStr">
        <is>
          <t>PENDING</t>
        </is>
      </c>
      <c r="K200" s="20" t="inlineStr">
        <is>
          <t>待确认</t>
        </is>
      </c>
      <c r="L200" s="20">
        <f>IF(B200="","",IF(OR(F200="FAIL",K200="泄漏"),"DROP",IF(G200="FAIL","RELABEL",IF(OR(H200="FAIL",I200="FAIL",J200="FAIL"),"REWORK",IF(COUNTIF(F200:J200,"PENDING")&gt;0,"PENDING","REUSE")))))</f>
        <v/>
      </c>
      <c r="M200" s="20" t="inlineStr">
        <is>
          <t>PENDING</t>
        </is>
      </c>
      <c r="N200" s="20" t="str"/>
      <c r="O200" s="20" t="str"/>
      <c r="P200" s="20" t="str"/>
      <c r="Q200" s="20" t="inlineStr">
        <is>
          <t>待确认</t>
        </is>
      </c>
      <c r="R200" s="20" t="inlineStr">
        <is>
          <t>未开始</t>
        </is>
      </c>
      <c r="S200">
        <f>IF(B200="","",IF(E200="已暴露","DEV_REG_ONLY","ANY"))</f>
        <v/>
      </c>
    </row>
    <row r="201">
      <c r="A201" s="20" t="n">
        <v>198</v>
      </c>
      <c r="B201" s="20" t="str"/>
      <c r="C201" s="20" t="str"/>
      <c r="D201" s="20" t="str"/>
      <c r="E201" s="20" t="str"/>
      <c r="F201" s="20" t="inlineStr">
        <is>
          <t>PENDING</t>
        </is>
      </c>
      <c r="G201" s="20" t="inlineStr">
        <is>
          <t>PENDING</t>
        </is>
      </c>
      <c r="H201" s="20" t="inlineStr">
        <is>
          <t>PENDING</t>
        </is>
      </c>
      <c r="I201" s="20" t="inlineStr">
        <is>
          <t>PENDING</t>
        </is>
      </c>
      <c r="J201" s="20" t="inlineStr">
        <is>
          <t>PENDING</t>
        </is>
      </c>
      <c r="K201" s="20" t="inlineStr">
        <is>
          <t>待确认</t>
        </is>
      </c>
      <c r="L201" s="20">
        <f>IF(B201="","",IF(OR(F201="FAIL",K201="泄漏"),"DROP",IF(G201="FAIL","RELABEL",IF(OR(H201="FAIL",I201="FAIL",J201="FAIL"),"REWORK",IF(COUNTIF(F201:J201,"PENDING")&gt;0,"PENDING","REUSE")))))</f>
        <v/>
      </c>
      <c r="M201" s="20" t="inlineStr">
        <is>
          <t>PENDING</t>
        </is>
      </c>
      <c r="N201" s="20" t="str"/>
      <c r="O201" s="20" t="str"/>
      <c r="P201" s="20" t="str"/>
      <c r="Q201" s="20" t="inlineStr">
        <is>
          <t>待确认</t>
        </is>
      </c>
      <c r="R201" s="20" t="inlineStr">
        <is>
          <t>未开始</t>
        </is>
      </c>
      <c r="S201">
        <f>IF(B201="","",IF(E201="已暴露","DEV_REG_ONLY","ANY"))</f>
        <v/>
      </c>
    </row>
    <row r="202">
      <c r="A202" s="20" t="n">
        <v>199</v>
      </c>
      <c r="B202" s="20" t="str"/>
      <c r="C202" s="20" t="str"/>
      <c r="D202" s="20" t="str"/>
      <c r="E202" s="20" t="str"/>
      <c r="F202" s="20" t="inlineStr">
        <is>
          <t>PENDING</t>
        </is>
      </c>
      <c r="G202" s="20" t="inlineStr">
        <is>
          <t>PENDING</t>
        </is>
      </c>
      <c r="H202" s="20" t="inlineStr">
        <is>
          <t>PENDING</t>
        </is>
      </c>
      <c r="I202" s="20" t="inlineStr">
        <is>
          <t>PENDING</t>
        </is>
      </c>
      <c r="J202" s="20" t="inlineStr">
        <is>
          <t>PENDING</t>
        </is>
      </c>
      <c r="K202" s="20" t="inlineStr">
        <is>
          <t>待确认</t>
        </is>
      </c>
      <c r="L202" s="20">
        <f>IF(B202="","",IF(OR(F202="FAIL",K202="泄漏"),"DROP",IF(G202="FAIL","RELABEL",IF(OR(H202="FAIL",I202="FAIL",J202="FAIL"),"REWORK",IF(COUNTIF(F202:J202,"PENDING")&gt;0,"PENDING","REUSE")))))</f>
        <v/>
      </c>
      <c r="M202" s="20" t="inlineStr">
        <is>
          <t>PENDING</t>
        </is>
      </c>
      <c r="N202" s="20" t="str"/>
      <c r="O202" s="20" t="str"/>
      <c r="P202" s="20" t="str"/>
      <c r="Q202" s="20" t="inlineStr">
        <is>
          <t>待确认</t>
        </is>
      </c>
      <c r="R202" s="20" t="inlineStr">
        <is>
          <t>未开始</t>
        </is>
      </c>
      <c r="S202">
        <f>IF(B202="","",IF(E202="已暴露","DEV_REG_ONLY","ANY"))</f>
        <v/>
      </c>
    </row>
    <row r="203">
      <c r="A203" s="20" t="n">
        <v>200</v>
      </c>
      <c r="B203" s="20" t="str"/>
      <c r="C203" s="20" t="str"/>
      <c r="D203" s="20" t="str"/>
      <c r="E203" s="20" t="str"/>
      <c r="F203" s="20" t="inlineStr">
        <is>
          <t>PENDING</t>
        </is>
      </c>
      <c r="G203" s="20" t="inlineStr">
        <is>
          <t>PENDING</t>
        </is>
      </c>
      <c r="H203" s="20" t="inlineStr">
        <is>
          <t>PENDING</t>
        </is>
      </c>
      <c r="I203" s="20" t="inlineStr">
        <is>
          <t>PENDING</t>
        </is>
      </c>
      <c r="J203" s="20" t="inlineStr">
        <is>
          <t>PENDING</t>
        </is>
      </c>
      <c r="K203" s="20" t="inlineStr">
        <is>
          <t>待确认</t>
        </is>
      </c>
      <c r="L203" s="20">
        <f>IF(B203="","",IF(OR(F203="FAIL",K203="泄漏"),"DROP",IF(G203="FAIL","RELABEL",IF(OR(H203="FAIL",I203="FAIL",J203="FAIL"),"REWORK",IF(COUNTIF(F203:J203,"PENDING")&gt;0,"PENDING","REUSE")))))</f>
        <v/>
      </c>
      <c r="M203" s="20" t="inlineStr">
        <is>
          <t>PENDING</t>
        </is>
      </c>
      <c r="N203" s="20" t="str"/>
      <c r="O203" s="20" t="str"/>
      <c r="P203" s="20" t="str"/>
      <c r="Q203" s="20" t="inlineStr">
        <is>
          <t>待确认</t>
        </is>
      </c>
      <c r="R203" s="20" t="inlineStr">
        <is>
          <t>未开始</t>
        </is>
      </c>
      <c r="S203">
        <f>IF(B203="","",IF(E203="已暴露","DEV_REG_ONLY","ANY"))</f>
        <v/>
      </c>
    </row>
    <row r="204">
      <c r="A204" s="20" t="n">
        <v>201</v>
      </c>
      <c r="B204" s="20" t="str"/>
      <c r="C204" s="20" t="str"/>
      <c r="D204" s="20" t="str"/>
      <c r="E204" s="20" t="str"/>
      <c r="F204" s="20" t="inlineStr">
        <is>
          <t>PENDING</t>
        </is>
      </c>
      <c r="G204" s="20" t="inlineStr">
        <is>
          <t>PENDING</t>
        </is>
      </c>
      <c r="H204" s="20" t="inlineStr">
        <is>
          <t>PENDING</t>
        </is>
      </c>
      <c r="I204" s="20" t="inlineStr">
        <is>
          <t>PENDING</t>
        </is>
      </c>
      <c r="J204" s="20" t="inlineStr">
        <is>
          <t>PENDING</t>
        </is>
      </c>
      <c r="K204" s="20" t="inlineStr">
        <is>
          <t>待确认</t>
        </is>
      </c>
      <c r="L204" s="20">
        <f>IF(B204="","",IF(OR(F204="FAIL",K204="泄漏"),"DROP",IF(G204="FAIL","RELABEL",IF(OR(H204="FAIL",I204="FAIL",J204="FAIL"),"REWORK",IF(COUNTIF(F204:J204,"PENDING")&gt;0,"PENDING","REUSE")))))</f>
        <v/>
      </c>
      <c r="M204" s="20" t="inlineStr">
        <is>
          <t>PENDING</t>
        </is>
      </c>
      <c r="N204" s="20" t="str"/>
      <c r="O204" s="20" t="str"/>
      <c r="P204" s="20" t="str"/>
      <c r="Q204" s="20" t="inlineStr">
        <is>
          <t>待确认</t>
        </is>
      </c>
      <c r="R204" s="20" t="inlineStr">
        <is>
          <t>未开始</t>
        </is>
      </c>
      <c r="S204">
        <f>IF(B204="","",IF(E204="已暴露","DEV_REG_ONLY","ANY"))</f>
        <v/>
      </c>
    </row>
    <row r="205">
      <c r="A205" s="20" t="n">
        <v>202</v>
      </c>
      <c r="B205" s="20" t="str"/>
      <c r="C205" s="20" t="str"/>
      <c r="D205" s="20" t="str"/>
      <c r="E205" s="20" t="str"/>
      <c r="F205" s="20" t="inlineStr">
        <is>
          <t>PENDING</t>
        </is>
      </c>
      <c r="G205" s="20" t="inlineStr">
        <is>
          <t>PENDING</t>
        </is>
      </c>
      <c r="H205" s="20" t="inlineStr">
        <is>
          <t>PENDING</t>
        </is>
      </c>
      <c r="I205" s="20" t="inlineStr">
        <is>
          <t>PENDING</t>
        </is>
      </c>
      <c r="J205" s="20" t="inlineStr">
        <is>
          <t>PENDING</t>
        </is>
      </c>
      <c r="K205" s="20" t="inlineStr">
        <is>
          <t>待确认</t>
        </is>
      </c>
      <c r="L205" s="20">
        <f>IF(B205="","",IF(OR(F205="FAIL",K205="泄漏"),"DROP",IF(G205="FAIL","RELABEL",IF(OR(H205="FAIL",I205="FAIL",J205="FAIL"),"REWORK",IF(COUNTIF(F205:J205,"PENDING")&gt;0,"PENDING","REUSE")))))</f>
        <v/>
      </c>
      <c r="M205" s="20" t="inlineStr">
        <is>
          <t>PENDING</t>
        </is>
      </c>
      <c r="N205" s="20" t="str"/>
      <c r="O205" s="20" t="str"/>
      <c r="P205" s="20" t="str"/>
      <c r="Q205" s="20" t="inlineStr">
        <is>
          <t>待确认</t>
        </is>
      </c>
      <c r="R205" s="20" t="inlineStr">
        <is>
          <t>未开始</t>
        </is>
      </c>
      <c r="S205">
        <f>IF(B205="","",IF(E205="已暴露","DEV_REG_ONLY","ANY"))</f>
        <v/>
      </c>
    </row>
    <row r="206">
      <c r="A206" s="20" t="n">
        <v>203</v>
      </c>
      <c r="B206" s="20" t="str"/>
      <c r="C206" s="20" t="str"/>
      <c r="D206" s="20" t="str"/>
      <c r="E206" s="20" t="str"/>
      <c r="F206" s="20" t="inlineStr">
        <is>
          <t>PENDING</t>
        </is>
      </c>
      <c r="G206" s="20" t="inlineStr">
        <is>
          <t>PENDING</t>
        </is>
      </c>
      <c r="H206" s="20" t="inlineStr">
        <is>
          <t>PENDING</t>
        </is>
      </c>
      <c r="I206" s="20" t="inlineStr">
        <is>
          <t>PENDING</t>
        </is>
      </c>
      <c r="J206" s="20" t="inlineStr">
        <is>
          <t>PENDING</t>
        </is>
      </c>
      <c r="K206" s="20" t="inlineStr">
        <is>
          <t>待确认</t>
        </is>
      </c>
      <c r="L206" s="20">
        <f>IF(B206="","",IF(OR(F206="FAIL",K206="泄漏"),"DROP",IF(G206="FAIL","RELABEL",IF(OR(H206="FAIL",I206="FAIL",J206="FAIL"),"REWORK",IF(COUNTIF(F206:J206,"PENDING")&gt;0,"PENDING","REUSE")))))</f>
        <v/>
      </c>
      <c r="M206" s="20" t="inlineStr">
        <is>
          <t>PENDING</t>
        </is>
      </c>
      <c r="N206" s="20" t="str"/>
      <c r="O206" s="20" t="str"/>
      <c r="P206" s="20" t="str"/>
      <c r="Q206" s="20" t="inlineStr">
        <is>
          <t>待确认</t>
        </is>
      </c>
      <c r="R206" s="20" t="inlineStr">
        <is>
          <t>未开始</t>
        </is>
      </c>
      <c r="S206">
        <f>IF(B206="","",IF(E206="已暴露","DEV_REG_ONLY","ANY"))</f>
        <v/>
      </c>
    </row>
    <row r="207">
      <c r="A207" s="20" t="n">
        <v>204</v>
      </c>
      <c r="B207" s="20" t="str"/>
      <c r="C207" s="20" t="str"/>
      <c r="D207" s="20" t="str"/>
      <c r="E207" s="20" t="str"/>
      <c r="F207" s="20" t="inlineStr">
        <is>
          <t>PENDING</t>
        </is>
      </c>
      <c r="G207" s="20" t="inlineStr">
        <is>
          <t>PENDING</t>
        </is>
      </c>
      <c r="H207" s="20" t="inlineStr">
        <is>
          <t>PENDING</t>
        </is>
      </c>
      <c r="I207" s="20" t="inlineStr">
        <is>
          <t>PENDING</t>
        </is>
      </c>
      <c r="J207" s="20" t="inlineStr">
        <is>
          <t>PENDING</t>
        </is>
      </c>
      <c r="K207" s="20" t="inlineStr">
        <is>
          <t>待确认</t>
        </is>
      </c>
      <c r="L207" s="20">
        <f>IF(B207="","",IF(OR(F207="FAIL",K207="泄漏"),"DROP",IF(G207="FAIL","RELABEL",IF(OR(H207="FAIL",I207="FAIL",J207="FAIL"),"REWORK",IF(COUNTIF(F207:J207,"PENDING")&gt;0,"PENDING","REUSE")))))</f>
        <v/>
      </c>
      <c r="M207" s="20" t="inlineStr">
        <is>
          <t>PENDING</t>
        </is>
      </c>
      <c r="N207" s="20" t="str"/>
      <c r="O207" s="20" t="str"/>
      <c r="P207" s="20" t="str"/>
      <c r="Q207" s="20" t="inlineStr">
        <is>
          <t>待确认</t>
        </is>
      </c>
      <c r="R207" s="20" t="inlineStr">
        <is>
          <t>未开始</t>
        </is>
      </c>
      <c r="S207">
        <f>IF(B207="","",IF(E207="已暴露","DEV_REG_ONLY","ANY"))</f>
        <v/>
      </c>
    </row>
    <row r="208">
      <c r="A208" s="20" t="n">
        <v>205</v>
      </c>
      <c r="B208" s="20" t="str"/>
      <c r="C208" s="20" t="str"/>
      <c r="D208" s="20" t="str"/>
      <c r="E208" s="20" t="str"/>
      <c r="F208" s="20" t="inlineStr">
        <is>
          <t>PENDING</t>
        </is>
      </c>
      <c r="G208" s="20" t="inlineStr">
        <is>
          <t>PENDING</t>
        </is>
      </c>
      <c r="H208" s="20" t="inlineStr">
        <is>
          <t>PENDING</t>
        </is>
      </c>
      <c r="I208" s="20" t="inlineStr">
        <is>
          <t>PENDING</t>
        </is>
      </c>
      <c r="J208" s="20" t="inlineStr">
        <is>
          <t>PENDING</t>
        </is>
      </c>
      <c r="K208" s="20" t="inlineStr">
        <is>
          <t>待确认</t>
        </is>
      </c>
      <c r="L208" s="20">
        <f>IF(B208="","",IF(OR(F208="FAIL",K208="泄漏"),"DROP",IF(G208="FAIL","RELABEL",IF(OR(H208="FAIL",I208="FAIL",J208="FAIL"),"REWORK",IF(COUNTIF(F208:J208,"PENDING")&gt;0,"PENDING","REUSE")))))</f>
        <v/>
      </c>
      <c r="M208" s="20" t="inlineStr">
        <is>
          <t>PENDING</t>
        </is>
      </c>
      <c r="N208" s="20" t="str"/>
      <c r="O208" s="20" t="str"/>
      <c r="P208" s="20" t="str"/>
      <c r="Q208" s="20" t="inlineStr">
        <is>
          <t>待确认</t>
        </is>
      </c>
      <c r="R208" s="20" t="inlineStr">
        <is>
          <t>未开始</t>
        </is>
      </c>
      <c r="S208">
        <f>IF(B208="","",IF(E208="已暴露","DEV_REG_ONLY","ANY"))</f>
        <v/>
      </c>
    </row>
    <row r="209">
      <c r="A209" s="20" t="n">
        <v>206</v>
      </c>
      <c r="B209" s="20" t="str"/>
      <c r="C209" s="20" t="str"/>
      <c r="D209" s="20" t="str"/>
      <c r="E209" s="20" t="str"/>
      <c r="F209" s="20" t="inlineStr">
        <is>
          <t>PENDING</t>
        </is>
      </c>
      <c r="G209" s="20" t="inlineStr">
        <is>
          <t>PENDING</t>
        </is>
      </c>
      <c r="H209" s="20" t="inlineStr">
        <is>
          <t>PENDING</t>
        </is>
      </c>
      <c r="I209" s="20" t="inlineStr">
        <is>
          <t>PENDING</t>
        </is>
      </c>
      <c r="J209" s="20" t="inlineStr">
        <is>
          <t>PENDING</t>
        </is>
      </c>
      <c r="K209" s="20" t="inlineStr">
        <is>
          <t>待确认</t>
        </is>
      </c>
      <c r="L209" s="20">
        <f>IF(B209="","",IF(OR(F209="FAIL",K209="泄漏"),"DROP",IF(G209="FAIL","RELABEL",IF(OR(H209="FAIL",I209="FAIL",J209="FAIL"),"REWORK",IF(COUNTIF(F209:J209,"PENDING")&gt;0,"PENDING","REUSE")))))</f>
        <v/>
      </c>
      <c r="M209" s="20" t="inlineStr">
        <is>
          <t>PENDING</t>
        </is>
      </c>
      <c r="N209" s="20" t="str"/>
      <c r="O209" s="20" t="str"/>
      <c r="P209" s="20" t="str"/>
      <c r="Q209" s="20" t="inlineStr">
        <is>
          <t>待确认</t>
        </is>
      </c>
      <c r="R209" s="20" t="inlineStr">
        <is>
          <t>未开始</t>
        </is>
      </c>
      <c r="S209">
        <f>IF(B209="","",IF(E209="已暴露","DEV_REG_ONLY","ANY"))</f>
        <v/>
      </c>
    </row>
    <row r="210">
      <c r="A210" s="20" t="n">
        <v>207</v>
      </c>
      <c r="B210" s="20" t="str"/>
      <c r="C210" s="20" t="str"/>
      <c r="D210" s="20" t="str"/>
      <c r="E210" s="20" t="str"/>
      <c r="F210" s="20" t="inlineStr">
        <is>
          <t>PENDING</t>
        </is>
      </c>
      <c r="G210" s="20" t="inlineStr">
        <is>
          <t>PENDING</t>
        </is>
      </c>
      <c r="H210" s="20" t="inlineStr">
        <is>
          <t>PENDING</t>
        </is>
      </c>
      <c r="I210" s="20" t="inlineStr">
        <is>
          <t>PENDING</t>
        </is>
      </c>
      <c r="J210" s="20" t="inlineStr">
        <is>
          <t>PENDING</t>
        </is>
      </c>
      <c r="K210" s="20" t="inlineStr">
        <is>
          <t>待确认</t>
        </is>
      </c>
      <c r="L210" s="20">
        <f>IF(B210="","",IF(OR(F210="FAIL",K210="泄漏"),"DROP",IF(G210="FAIL","RELABEL",IF(OR(H210="FAIL",I210="FAIL",J210="FAIL"),"REWORK",IF(COUNTIF(F210:J210,"PENDING")&gt;0,"PENDING","REUSE")))))</f>
        <v/>
      </c>
      <c r="M210" s="20" t="inlineStr">
        <is>
          <t>PENDING</t>
        </is>
      </c>
      <c r="N210" s="20" t="str"/>
      <c r="O210" s="20" t="str"/>
      <c r="P210" s="20" t="str"/>
      <c r="Q210" s="20" t="inlineStr">
        <is>
          <t>待确认</t>
        </is>
      </c>
      <c r="R210" s="20" t="inlineStr">
        <is>
          <t>未开始</t>
        </is>
      </c>
      <c r="S210">
        <f>IF(B210="","",IF(E210="已暴露","DEV_REG_ONLY","ANY"))</f>
        <v/>
      </c>
    </row>
    <row r="211">
      <c r="A211" s="20" t="n">
        <v>208</v>
      </c>
      <c r="B211" s="20" t="str"/>
      <c r="C211" s="20" t="str"/>
      <c r="D211" s="20" t="str"/>
      <c r="E211" s="20" t="str"/>
      <c r="F211" s="20" t="inlineStr">
        <is>
          <t>PENDING</t>
        </is>
      </c>
      <c r="G211" s="20" t="inlineStr">
        <is>
          <t>PENDING</t>
        </is>
      </c>
      <c r="H211" s="20" t="inlineStr">
        <is>
          <t>PENDING</t>
        </is>
      </c>
      <c r="I211" s="20" t="inlineStr">
        <is>
          <t>PENDING</t>
        </is>
      </c>
      <c r="J211" s="20" t="inlineStr">
        <is>
          <t>PENDING</t>
        </is>
      </c>
      <c r="K211" s="20" t="inlineStr">
        <is>
          <t>待确认</t>
        </is>
      </c>
      <c r="L211" s="20">
        <f>IF(B211="","",IF(OR(F211="FAIL",K211="泄漏"),"DROP",IF(G211="FAIL","RELABEL",IF(OR(H211="FAIL",I211="FAIL",J211="FAIL"),"REWORK",IF(COUNTIF(F211:J211,"PENDING")&gt;0,"PENDING","REUSE")))))</f>
        <v/>
      </c>
      <c r="M211" s="20" t="inlineStr">
        <is>
          <t>PENDING</t>
        </is>
      </c>
      <c r="N211" s="20" t="str"/>
      <c r="O211" s="20" t="str"/>
      <c r="P211" s="20" t="str"/>
      <c r="Q211" s="20" t="inlineStr">
        <is>
          <t>待确认</t>
        </is>
      </c>
      <c r="R211" s="20" t="inlineStr">
        <is>
          <t>未开始</t>
        </is>
      </c>
      <c r="S211">
        <f>IF(B211="","",IF(E211="已暴露","DEV_REG_ONLY","ANY"))</f>
        <v/>
      </c>
    </row>
    <row r="212">
      <c r="A212" s="20" t="n">
        <v>209</v>
      </c>
      <c r="B212" s="20" t="str"/>
      <c r="C212" s="20" t="str"/>
      <c r="D212" s="20" t="str"/>
      <c r="E212" s="20" t="str"/>
      <c r="F212" s="20" t="inlineStr">
        <is>
          <t>PENDING</t>
        </is>
      </c>
      <c r="G212" s="20" t="inlineStr">
        <is>
          <t>PENDING</t>
        </is>
      </c>
      <c r="H212" s="20" t="inlineStr">
        <is>
          <t>PENDING</t>
        </is>
      </c>
      <c r="I212" s="20" t="inlineStr">
        <is>
          <t>PENDING</t>
        </is>
      </c>
      <c r="J212" s="20" t="inlineStr">
        <is>
          <t>PENDING</t>
        </is>
      </c>
      <c r="K212" s="20" t="inlineStr">
        <is>
          <t>待确认</t>
        </is>
      </c>
      <c r="L212" s="20">
        <f>IF(B212="","",IF(OR(F212="FAIL",K212="泄漏"),"DROP",IF(G212="FAIL","RELABEL",IF(OR(H212="FAIL",I212="FAIL",J212="FAIL"),"REWORK",IF(COUNTIF(F212:J212,"PENDING")&gt;0,"PENDING","REUSE")))))</f>
        <v/>
      </c>
      <c r="M212" s="20" t="inlineStr">
        <is>
          <t>PENDING</t>
        </is>
      </c>
      <c r="N212" s="20" t="str"/>
      <c r="O212" s="20" t="str"/>
      <c r="P212" s="20" t="str"/>
      <c r="Q212" s="20" t="inlineStr">
        <is>
          <t>待确认</t>
        </is>
      </c>
      <c r="R212" s="20" t="inlineStr">
        <is>
          <t>未开始</t>
        </is>
      </c>
      <c r="S212">
        <f>IF(B212="","",IF(E212="已暴露","DEV_REG_ONLY","ANY"))</f>
        <v/>
      </c>
    </row>
    <row r="213">
      <c r="A213" s="20" t="n">
        <v>210</v>
      </c>
      <c r="B213" s="20" t="str"/>
      <c r="C213" s="20" t="str"/>
      <c r="D213" s="20" t="str"/>
      <c r="E213" s="20" t="str"/>
      <c r="F213" s="20" t="inlineStr">
        <is>
          <t>PENDING</t>
        </is>
      </c>
      <c r="G213" s="20" t="inlineStr">
        <is>
          <t>PENDING</t>
        </is>
      </c>
      <c r="H213" s="20" t="inlineStr">
        <is>
          <t>PENDING</t>
        </is>
      </c>
      <c r="I213" s="20" t="inlineStr">
        <is>
          <t>PENDING</t>
        </is>
      </c>
      <c r="J213" s="20" t="inlineStr">
        <is>
          <t>PENDING</t>
        </is>
      </c>
      <c r="K213" s="20" t="inlineStr">
        <is>
          <t>待确认</t>
        </is>
      </c>
      <c r="L213" s="20">
        <f>IF(B213="","",IF(OR(F213="FAIL",K213="泄漏"),"DROP",IF(G213="FAIL","RELABEL",IF(OR(H213="FAIL",I213="FAIL",J213="FAIL"),"REWORK",IF(COUNTIF(F213:J213,"PENDING")&gt;0,"PENDING","REUSE")))))</f>
        <v/>
      </c>
      <c r="M213" s="20" t="inlineStr">
        <is>
          <t>PENDING</t>
        </is>
      </c>
      <c r="N213" s="20" t="str"/>
      <c r="O213" s="20" t="str"/>
      <c r="P213" s="20" t="str"/>
      <c r="Q213" s="20" t="inlineStr">
        <is>
          <t>待确认</t>
        </is>
      </c>
      <c r="R213" s="20" t="inlineStr">
        <is>
          <t>未开始</t>
        </is>
      </c>
      <c r="S213">
        <f>IF(B213="","",IF(E213="已暴露","DEV_REG_ONLY","ANY"))</f>
        <v/>
      </c>
    </row>
    <row r="214">
      <c r="A214" s="20" t="n">
        <v>211</v>
      </c>
      <c r="B214" s="20" t="str"/>
      <c r="C214" s="20" t="str"/>
      <c r="D214" s="20" t="str"/>
      <c r="E214" s="20" t="str"/>
      <c r="F214" s="20" t="inlineStr">
        <is>
          <t>PENDING</t>
        </is>
      </c>
      <c r="G214" s="20" t="inlineStr">
        <is>
          <t>PENDING</t>
        </is>
      </c>
      <c r="H214" s="20" t="inlineStr">
        <is>
          <t>PENDING</t>
        </is>
      </c>
      <c r="I214" s="20" t="inlineStr">
        <is>
          <t>PENDING</t>
        </is>
      </c>
      <c r="J214" s="20" t="inlineStr">
        <is>
          <t>PENDING</t>
        </is>
      </c>
      <c r="K214" s="20" t="inlineStr">
        <is>
          <t>待确认</t>
        </is>
      </c>
      <c r="L214" s="20">
        <f>IF(B214="","",IF(OR(F214="FAIL",K214="泄漏"),"DROP",IF(G214="FAIL","RELABEL",IF(OR(H214="FAIL",I214="FAIL",J214="FAIL"),"REWORK",IF(COUNTIF(F214:J214,"PENDING")&gt;0,"PENDING","REUSE")))))</f>
        <v/>
      </c>
      <c r="M214" s="20" t="inlineStr">
        <is>
          <t>PENDING</t>
        </is>
      </c>
      <c r="N214" s="20" t="str"/>
      <c r="O214" s="20" t="str"/>
      <c r="P214" s="20" t="str"/>
      <c r="Q214" s="20" t="inlineStr">
        <is>
          <t>待确认</t>
        </is>
      </c>
      <c r="R214" s="20" t="inlineStr">
        <is>
          <t>未开始</t>
        </is>
      </c>
      <c r="S214">
        <f>IF(B214="","",IF(E214="已暴露","DEV_REG_ONLY","ANY"))</f>
        <v/>
      </c>
    </row>
    <row r="215">
      <c r="A215" s="20" t="n">
        <v>212</v>
      </c>
      <c r="B215" s="20" t="str"/>
      <c r="C215" s="20" t="str"/>
      <c r="D215" s="20" t="str"/>
      <c r="E215" s="20" t="str"/>
      <c r="F215" s="20" t="inlineStr">
        <is>
          <t>PENDING</t>
        </is>
      </c>
      <c r="G215" s="20" t="inlineStr">
        <is>
          <t>PENDING</t>
        </is>
      </c>
      <c r="H215" s="20" t="inlineStr">
        <is>
          <t>PENDING</t>
        </is>
      </c>
      <c r="I215" s="20" t="inlineStr">
        <is>
          <t>PENDING</t>
        </is>
      </c>
      <c r="J215" s="20" t="inlineStr">
        <is>
          <t>PENDING</t>
        </is>
      </c>
      <c r="K215" s="20" t="inlineStr">
        <is>
          <t>待确认</t>
        </is>
      </c>
      <c r="L215" s="20">
        <f>IF(B215="","",IF(OR(F215="FAIL",K215="泄漏"),"DROP",IF(G215="FAIL","RELABEL",IF(OR(H215="FAIL",I215="FAIL",J215="FAIL"),"REWORK",IF(COUNTIF(F215:J215,"PENDING")&gt;0,"PENDING","REUSE")))))</f>
        <v/>
      </c>
      <c r="M215" s="20" t="inlineStr">
        <is>
          <t>PENDING</t>
        </is>
      </c>
      <c r="N215" s="20" t="str"/>
      <c r="O215" s="20" t="str"/>
      <c r="P215" s="20" t="str"/>
      <c r="Q215" s="20" t="inlineStr">
        <is>
          <t>待确认</t>
        </is>
      </c>
      <c r="R215" s="20" t="inlineStr">
        <is>
          <t>未开始</t>
        </is>
      </c>
      <c r="S215">
        <f>IF(B215="","",IF(E215="已暴露","DEV_REG_ONLY","ANY"))</f>
        <v/>
      </c>
    </row>
    <row r="216">
      <c r="A216" s="20" t="n">
        <v>213</v>
      </c>
      <c r="B216" s="20" t="str"/>
      <c r="C216" s="20" t="str"/>
      <c r="D216" s="20" t="str"/>
      <c r="E216" s="20" t="str"/>
      <c r="F216" s="20" t="inlineStr">
        <is>
          <t>PENDING</t>
        </is>
      </c>
      <c r="G216" s="20" t="inlineStr">
        <is>
          <t>PENDING</t>
        </is>
      </c>
      <c r="H216" s="20" t="inlineStr">
        <is>
          <t>PENDING</t>
        </is>
      </c>
      <c r="I216" s="20" t="inlineStr">
        <is>
          <t>PENDING</t>
        </is>
      </c>
      <c r="J216" s="20" t="inlineStr">
        <is>
          <t>PENDING</t>
        </is>
      </c>
      <c r="K216" s="20" t="inlineStr">
        <is>
          <t>待确认</t>
        </is>
      </c>
      <c r="L216" s="20">
        <f>IF(B216="","",IF(OR(F216="FAIL",K216="泄漏"),"DROP",IF(G216="FAIL","RELABEL",IF(OR(H216="FAIL",I216="FAIL",J216="FAIL"),"REWORK",IF(COUNTIF(F216:J216,"PENDING")&gt;0,"PENDING","REUSE")))))</f>
        <v/>
      </c>
      <c r="M216" s="20" t="inlineStr">
        <is>
          <t>PENDING</t>
        </is>
      </c>
      <c r="N216" s="20" t="str"/>
      <c r="O216" s="20" t="str"/>
      <c r="P216" s="20" t="str"/>
      <c r="Q216" s="20" t="inlineStr">
        <is>
          <t>待确认</t>
        </is>
      </c>
      <c r="R216" s="20" t="inlineStr">
        <is>
          <t>未开始</t>
        </is>
      </c>
      <c r="S216">
        <f>IF(B216="","",IF(E216="已暴露","DEV_REG_ONLY","ANY"))</f>
        <v/>
      </c>
    </row>
    <row r="217">
      <c r="A217" s="20" t="n">
        <v>214</v>
      </c>
      <c r="B217" s="20" t="str"/>
      <c r="C217" s="20" t="str"/>
      <c r="D217" s="20" t="str"/>
      <c r="E217" s="20" t="str"/>
      <c r="F217" s="20" t="inlineStr">
        <is>
          <t>PENDING</t>
        </is>
      </c>
      <c r="G217" s="20" t="inlineStr">
        <is>
          <t>PENDING</t>
        </is>
      </c>
      <c r="H217" s="20" t="inlineStr">
        <is>
          <t>PENDING</t>
        </is>
      </c>
      <c r="I217" s="20" t="inlineStr">
        <is>
          <t>PENDING</t>
        </is>
      </c>
      <c r="J217" s="20" t="inlineStr">
        <is>
          <t>PENDING</t>
        </is>
      </c>
      <c r="K217" s="20" t="inlineStr">
        <is>
          <t>待确认</t>
        </is>
      </c>
      <c r="L217" s="20">
        <f>IF(B217="","",IF(OR(F217="FAIL",K217="泄漏"),"DROP",IF(G217="FAIL","RELABEL",IF(OR(H217="FAIL",I217="FAIL",J217="FAIL"),"REWORK",IF(COUNTIF(F217:J217,"PENDING")&gt;0,"PENDING","REUSE")))))</f>
        <v/>
      </c>
      <c r="M217" s="20" t="inlineStr">
        <is>
          <t>PENDING</t>
        </is>
      </c>
      <c r="N217" s="20" t="str"/>
      <c r="O217" s="20" t="str"/>
      <c r="P217" s="20" t="str"/>
      <c r="Q217" s="20" t="inlineStr">
        <is>
          <t>待确认</t>
        </is>
      </c>
      <c r="R217" s="20" t="inlineStr">
        <is>
          <t>未开始</t>
        </is>
      </c>
      <c r="S217">
        <f>IF(B217="","",IF(E217="已暴露","DEV_REG_ONLY","ANY"))</f>
        <v/>
      </c>
    </row>
    <row r="218">
      <c r="A218" s="20" t="n">
        <v>215</v>
      </c>
      <c r="B218" s="20" t="str"/>
      <c r="C218" s="20" t="str"/>
      <c r="D218" s="20" t="str"/>
      <c r="E218" s="20" t="str"/>
      <c r="F218" s="20" t="inlineStr">
        <is>
          <t>PENDING</t>
        </is>
      </c>
      <c r="G218" s="20" t="inlineStr">
        <is>
          <t>PENDING</t>
        </is>
      </c>
      <c r="H218" s="20" t="inlineStr">
        <is>
          <t>PENDING</t>
        </is>
      </c>
      <c r="I218" s="20" t="inlineStr">
        <is>
          <t>PENDING</t>
        </is>
      </c>
      <c r="J218" s="20" t="inlineStr">
        <is>
          <t>PENDING</t>
        </is>
      </c>
      <c r="K218" s="20" t="inlineStr">
        <is>
          <t>待确认</t>
        </is>
      </c>
      <c r="L218" s="20">
        <f>IF(B218="","",IF(OR(F218="FAIL",K218="泄漏"),"DROP",IF(G218="FAIL","RELABEL",IF(OR(H218="FAIL",I218="FAIL",J218="FAIL"),"REWORK",IF(COUNTIF(F218:J218,"PENDING")&gt;0,"PENDING","REUSE")))))</f>
        <v/>
      </c>
      <c r="M218" s="20" t="inlineStr">
        <is>
          <t>PENDING</t>
        </is>
      </c>
      <c r="N218" s="20" t="str"/>
      <c r="O218" s="20" t="str"/>
      <c r="P218" s="20" t="str"/>
      <c r="Q218" s="20" t="inlineStr">
        <is>
          <t>待确认</t>
        </is>
      </c>
      <c r="R218" s="20" t="inlineStr">
        <is>
          <t>未开始</t>
        </is>
      </c>
      <c r="S218">
        <f>IF(B218="","",IF(E218="已暴露","DEV_REG_ONLY","ANY"))</f>
        <v/>
      </c>
    </row>
    <row r="219">
      <c r="A219" s="20" t="n">
        <v>216</v>
      </c>
      <c r="B219" s="20" t="str"/>
      <c r="C219" s="20" t="str"/>
      <c r="D219" s="20" t="str"/>
      <c r="E219" s="20" t="str"/>
      <c r="F219" s="20" t="inlineStr">
        <is>
          <t>PENDING</t>
        </is>
      </c>
      <c r="G219" s="20" t="inlineStr">
        <is>
          <t>PENDING</t>
        </is>
      </c>
      <c r="H219" s="20" t="inlineStr">
        <is>
          <t>PENDING</t>
        </is>
      </c>
      <c r="I219" s="20" t="inlineStr">
        <is>
          <t>PENDING</t>
        </is>
      </c>
      <c r="J219" s="20" t="inlineStr">
        <is>
          <t>PENDING</t>
        </is>
      </c>
      <c r="K219" s="20" t="inlineStr">
        <is>
          <t>待确认</t>
        </is>
      </c>
      <c r="L219" s="20">
        <f>IF(B219="","",IF(OR(F219="FAIL",K219="泄漏"),"DROP",IF(G219="FAIL","RELABEL",IF(OR(H219="FAIL",I219="FAIL",J219="FAIL"),"REWORK",IF(COUNTIF(F219:J219,"PENDING")&gt;0,"PENDING","REUSE")))))</f>
        <v/>
      </c>
      <c r="M219" s="20" t="inlineStr">
        <is>
          <t>PENDING</t>
        </is>
      </c>
      <c r="N219" s="20" t="str"/>
      <c r="O219" s="20" t="str"/>
      <c r="P219" s="20" t="str"/>
      <c r="Q219" s="20" t="inlineStr">
        <is>
          <t>待确认</t>
        </is>
      </c>
      <c r="R219" s="20" t="inlineStr">
        <is>
          <t>未开始</t>
        </is>
      </c>
      <c r="S219">
        <f>IF(B219="","",IF(E219="已暴露","DEV_REG_ONLY","ANY"))</f>
        <v/>
      </c>
    </row>
    <row r="220">
      <c r="A220" s="20" t="n">
        <v>217</v>
      </c>
      <c r="B220" s="20" t="str"/>
      <c r="C220" s="20" t="str"/>
      <c r="D220" s="20" t="str"/>
      <c r="E220" s="20" t="str"/>
      <c r="F220" s="20" t="inlineStr">
        <is>
          <t>PENDING</t>
        </is>
      </c>
      <c r="G220" s="20" t="inlineStr">
        <is>
          <t>PENDING</t>
        </is>
      </c>
      <c r="H220" s="20" t="inlineStr">
        <is>
          <t>PENDING</t>
        </is>
      </c>
      <c r="I220" s="20" t="inlineStr">
        <is>
          <t>PENDING</t>
        </is>
      </c>
      <c r="J220" s="20" t="inlineStr">
        <is>
          <t>PENDING</t>
        </is>
      </c>
      <c r="K220" s="20" t="inlineStr">
        <is>
          <t>待确认</t>
        </is>
      </c>
      <c r="L220" s="20">
        <f>IF(B220="","",IF(OR(F220="FAIL",K220="泄漏"),"DROP",IF(G220="FAIL","RELABEL",IF(OR(H220="FAIL",I220="FAIL",J220="FAIL"),"REWORK",IF(COUNTIF(F220:J220,"PENDING")&gt;0,"PENDING","REUSE")))))</f>
        <v/>
      </c>
      <c r="M220" s="20" t="inlineStr">
        <is>
          <t>PENDING</t>
        </is>
      </c>
      <c r="N220" s="20" t="str"/>
      <c r="O220" s="20" t="str"/>
      <c r="P220" s="20" t="str"/>
      <c r="Q220" s="20" t="inlineStr">
        <is>
          <t>待确认</t>
        </is>
      </c>
      <c r="R220" s="20" t="inlineStr">
        <is>
          <t>未开始</t>
        </is>
      </c>
      <c r="S220">
        <f>IF(B220="","",IF(E220="已暴露","DEV_REG_ONLY","ANY"))</f>
        <v/>
      </c>
    </row>
    <row r="221">
      <c r="A221" s="20" t="n">
        <v>218</v>
      </c>
      <c r="B221" s="20" t="str"/>
      <c r="C221" s="20" t="str"/>
      <c r="D221" s="20" t="str"/>
      <c r="E221" s="20" t="str"/>
      <c r="F221" s="20" t="inlineStr">
        <is>
          <t>PENDING</t>
        </is>
      </c>
      <c r="G221" s="20" t="inlineStr">
        <is>
          <t>PENDING</t>
        </is>
      </c>
      <c r="H221" s="20" t="inlineStr">
        <is>
          <t>PENDING</t>
        </is>
      </c>
      <c r="I221" s="20" t="inlineStr">
        <is>
          <t>PENDING</t>
        </is>
      </c>
      <c r="J221" s="20" t="inlineStr">
        <is>
          <t>PENDING</t>
        </is>
      </c>
      <c r="K221" s="20" t="inlineStr">
        <is>
          <t>待确认</t>
        </is>
      </c>
      <c r="L221" s="20">
        <f>IF(B221="","",IF(OR(F221="FAIL",K221="泄漏"),"DROP",IF(G221="FAIL","RELABEL",IF(OR(H221="FAIL",I221="FAIL",J221="FAIL"),"REWORK",IF(COUNTIF(F221:J221,"PENDING")&gt;0,"PENDING","REUSE")))))</f>
        <v/>
      </c>
      <c r="M221" s="20" t="inlineStr">
        <is>
          <t>PENDING</t>
        </is>
      </c>
      <c r="N221" s="20" t="str"/>
      <c r="O221" s="20" t="str"/>
      <c r="P221" s="20" t="str"/>
      <c r="Q221" s="20" t="inlineStr">
        <is>
          <t>待确认</t>
        </is>
      </c>
      <c r="R221" s="20" t="inlineStr">
        <is>
          <t>未开始</t>
        </is>
      </c>
      <c r="S221">
        <f>IF(B221="","",IF(E221="已暴露","DEV_REG_ONLY","ANY"))</f>
        <v/>
      </c>
    </row>
    <row r="222">
      <c r="A222" s="20" t="n">
        <v>219</v>
      </c>
      <c r="B222" s="20" t="str"/>
      <c r="C222" s="20" t="str"/>
      <c r="D222" s="20" t="str"/>
      <c r="E222" s="20" t="str"/>
      <c r="F222" s="20" t="inlineStr">
        <is>
          <t>PENDING</t>
        </is>
      </c>
      <c r="G222" s="20" t="inlineStr">
        <is>
          <t>PENDING</t>
        </is>
      </c>
      <c r="H222" s="20" t="inlineStr">
        <is>
          <t>PENDING</t>
        </is>
      </c>
      <c r="I222" s="20" t="inlineStr">
        <is>
          <t>PENDING</t>
        </is>
      </c>
      <c r="J222" s="20" t="inlineStr">
        <is>
          <t>PENDING</t>
        </is>
      </c>
      <c r="K222" s="20" t="inlineStr">
        <is>
          <t>待确认</t>
        </is>
      </c>
      <c r="L222" s="20">
        <f>IF(B222="","",IF(OR(F222="FAIL",K222="泄漏"),"DROP",IF(G222="FAIL","RELABEL",IF(OR(H222="FAIL",I222="FAIL",J222="FAIL"),"REWORK",IF(COUNTIF(F222:J222,"PENDING")&gt;0,"PENDING","REUSE")))))</f>
        <v/>
      </c>
      <c r="M222" s="20" t="inlineStr">
        <is>
          <t>PENDING</t>
        </is>
      </c>
      <c r="N222" s="20" t="str"/>
      <c r="O222" s="20" t="str"/>
      <c r="P222" s="20" t="str"/>
      <c r="Q222" s="20" t="inlineStr">
        <is>
          <t>待确认</t>
        </is>
      </c>
      <c r="R222" s="20" t="inlineStr">
        <is>
          <t>未开始</t>
        </is>
      </c>
      <c r="S222">
        <f>IF(B222="","",IF(E222="已暴露","DEV_REG_ONLY","ANY"))</f>
        <v/>
      </c>
    </row>
    <row r="223">
      <c r="A223" s="20" t="n">
        <v>220</v>
      </c>
      <c r="B223" s="20" t="str"/>
      <c r="C223" s="20" t="str"/>
      <c r="D223" s="20" t="str"/>
      <c r="E223" s="20" t="str"/>
      <c r="F223" s="20" t="inlineStr">
        <is>
          <t>PENDING</t>
        </is>
      </c>
      <c r="G223" s="20" t="inlineStr">
        <is>
          <t>PENDING</t>
        </is>
      </c>
      <c r="H223" s="20" t="inlineStr">
        <is>
          <t>PENDING</t>
        </is>
      </c>
      <c r="I223" s="20" t="inlineStr">
        <is>
          <t>PENDING</t>
        </is>
      </c>
      <c r="J223" s="20" t="inlineStr">
        <is>
          <t>PENDING</t>
        </is>
      </c>
      <c r="K223" s="20" t="inlineStr">
        <is>
          <t>待确认</t>
        </is>
      </c>
      <c r="L223" s="20">
        <f>IF(B223="","",IF(OR(F223="FAIL",K223="泄漏"),"DROP",IF(G223="FAIL","RELABEL",IF(OR(H223="FAIL",I223="FAIL",J223="FAIL"),"REWORK",IF(COUNTIF(F223:J223,"PENDING")&gt;0,"PENDING","REUSE")))))</f>
        <v/>
      </c>
      <c r="M223" s="20" t="inlineStr">
        <is>
          <t>PENDING</t>
        </is>
      </c>
      <c r="N223" s="20" t="str"/>
      <c r="O223" s="20" t="str"/>
      <c r="P223" s="20" t="str"/>
      <c r="Q223" s="20" t="inlineStr">
        <is>
          <t>待确认</t>
        </is>
      </c>
      <c r="R223" s="20" t="inlineStr">
        <is>
          <t>未开始</t>
        </is>
      </c>
      <c r="S223">
        <f>IF(B223="","",IF(E223="已暴露","DEV_REG_ONLY","ANY"))</f>
        <v/>
      </c>
    </row>
    <row r="224">
      <c r="A224" s="20" t="n">
        <v>221</v>
      </c>
      <c r="B224" s="20" t="str"/>
      <c r="C224" s="20" t="str"/>
      <c r="D224" s="20" t="str"/>
      <c r="E224" s="20" t="str"/>
      <c r="F224" s="20" t="inlineStr">
        <is>
          <t>PENDING</t>
        </is>
      </c>
      <c r="G224" s="20" t="inlineStr">
        <is>
          <t>PENDING</t>
        </is>
      </c>
      <c r="H224" s="20" t="inlineStr">
        <is>
          <t>PENDING</t>
        </is>
      </c>
      <c r="I224" s="20" t="inlineStr">
        <is>
          <t>PENDING</t>
        </is>
      </c>
      <c r="J224" s="20" t="inlineStr">
        <is>
          <t>PENDING</t>
        </is>
      </c>
      <c r="K224" s="20" t="inlineStr">
        <is>
          <t>待确认</t>
        </is>
      </c>
      <c r="L224" s="20">
        <f>IF(B224="","",IF(OR(F224="FAIL",K224="泄漏"),"DROP",IF(G224="FAIL","RELABEL",IF(OR(H224="FAIL",I224="FAIL",J224="FAIL"),"REWORK",IF(COUNTIF(F224:J224,"PENDING")&gt;0,"PENDING","REUSE")))))</f>
        <v/>
      </c>
      <c r="M224" s="20" t="inlineStr">
        <is>
          <t>PENDING</t>
        </is>
      </c>
      <c r="N224" s="20" t="str"/>
      <c r="O224" s="20" t="str"/>
      <c r="P224" s="20" t="str"/>
      <c r="Q224" s="20" t="inlineStr">
        <is>
          <t>待确认</t>
        </is>
      </c>
      <c r="R224" s="20" t="inlineStr">
        <is>
          <t>未开始</t>
        </is>
      </c>
      <c r="S224">
        <f>IF(B224="","",IF(E224="已暴露","DEV_REG_ONLY","ANY"))</f>
        <v/>
      </c>
    </row>
    <row r="225">
      <c r="A225" s="20" t="n">
        <v>222</v>
      </c>
      <c r="B225" s="20" t="str"/>
      <c r="C225" s="20" t="str"/>
      <c r="D225" s="20" t="str"/>
      <c r="E225" s="20" t="str"/>
      <c r="F225" s="20" t="inlineStr">
        <is>
          <t>PENDING</t>
        </is>
      </c>
      <c r="G225" s="20" t="inlineStr">
        <is>
          <t>PENDING</t>
        </is>
      </c>
      <c r="H225" s="20" t="inlineStr">
        <is>
          <t>PENDING</t>
        </is>
      </c>
      <c r="I225" s="20" t="inlineStr">
        <is>
          <t>PENDING</t>
        </is>
      </c>
      <c r="J225" s="20" t="inlineStr">
        <is>
          <t>PENDING</t>
        </is>
      </c>
      <c r="K225" s="20" t="inlineStr">
        <is>
          <t>待确认</t>
        </is>
      </c>
      <c r="L225" s="20">
        <f>IF(B225="","",IF(OR(F225="FAIL",K225="泄漏"),"DROP",IF(G225="FAIL","RELABEL",IF(OR(H225="FAIL",I225="FAIL",J225="FAIL"),"REWORK",IF(COUNTIF(F225:J225,"PENDING")&gt;0,"PENDING","REUSE")))))</f>
        <v/>
      </c>
      <c r="M225" s="20" t="inlineStr">
        <is>
          <t>PENDING</t>
        </is>
      </c>
      <c r="N225" s="20" t="str"/>
      <c r="O225" s="20" t="str"/>
      <c r="P225" s="20" t="str"/>
      <c r="Q225" s="20" t="inlineStr">
        <is>
          <t>待确认</t>
        </is>
      </c>
      <c r="R225" s="20" t="inlineStr">
        <is>
          <t>未开始</t>
        </is>
      </c>
      <c r="S225">
        <f>IF(B225="","",IF(E225="已暴露","DEV_REG_ONLY","ANY"))</f>
        <v/>
      </c>
    </row>
    <row r="226">
      <c r="A226" s="20" t="n">
        <v>223</v>
      </c>
      <c r="B226" s="20" t="str"/>
      <c r="C226" s="20" t="str"/>
      <c r="D226" s="20" t="str"/>
      <c r="E226" s="20" t="str"/>
      <c r="F226" s="20" t="inlineStr">
        <is>
          <t>PENDING</t>
        </is>
      </c>
      <c r="G226" s="20" t="inlineStr">
        <is>
          <t>PENDING</t>
        </is>
      </c>
      <c r="H226" s="20" t="inlineStr">
        <is>
          <t>PENDING</t>
        </is>
      </c>
      <c r="I226" s="20" t="inlineStr">
        <is>
          <t>PENDING</t>
        </is>
      </c>
      <c r="J226" s="20" t="inlineStr">
        <is>
          <t>PENDING</t>
        </is>
      </c>
      <c r="K226" s="20" t="inlineStr">
        <is>
          <t>待确认</t>
        </is>
      </c>
      <c r="L226" s="20">
        <f>IF(B226="","",IF(OR(F226="FAIL",K226="泄漏"),"DROP",IF(G226="FAIL","RELABEL",IF(OR(H226="FAIL",I226="FAIL",J226="FAIL"),"REWORK",IF(COUNTIF(F226:J226,"PENDING")&gt;0,"PENDING","REUSE")))))</f>
        <v/>
      </c>
      <c r="M226" s="20" t="inlineStr">
        <is>
          <t>PENDING</t>
        </is>
      </c>
      <c r="N226" s="20" t="str"/>
      <c r="O226" s="20" t="str"/>
      <c r="P226" s="20" t="str"/>
      <c r="Q226" s="20" t="inlineStr">
        <is>
          <t>待确认</t>
        </is>
      </c>
      <c r="R226" s="20" t="inlineStr">
        <is>
          <t>未开始</t>
        </is>
      </c>
      <c r="S226">
        <f>IF(B226="","",IF(E226="已暴露","DEV_REG_ONLY","ANY"))</f>
        <v/>
      </c>
    </row>
    <row r="227">
      <c r="A227" s="20" t="n">
        <v>224</v>
      </c>
      <c r="B227" s="20" t="str"/>
      <c r="C227" s="20" t="str"/>
      <c r="D227" s="20" t="str"/>
      <c r="E227" s="20" t="str"/>
      <c r="F227" s="20" t="inlineStr">
        <is>
          <t>PENDING</t>
        </is>
      </c>
      <c r="G227" s="20" t="inlineStr">
        <is>
          <t>PENDING</t>
        </is>
      </c>
      <c r="H227" s="20" t="inlineStr">
        <is>
          <t>PENDING</t>
        </is>
      </c>
      <c r="I227" s="20" t="inlineStr">
        <is>
          <t>PENDING</t>
        </is>
      </c>
      <c r="J227" s="20" t="inlineStr">
        <is>
          <t>PENDING</t>
        </is>
      </c>
      <c r="K227" s="20" t="inlineStr">
        <is>
          <t>待确认</t>
        </is>
      </c>
      <c r="L227" s="20">
        <f>IF(B227="","",IF(OR(F227="FAIL",K227="泄漏"),"DROP",IF(G227="FAIL","RELABEL",IF(OR(H227="FAIL",I227="FAIL",J227="FAIL"),"REWORK",IF(COUNTIF(F227:J227,"PENDING")&gt;0,"PENDING","REUSE")))))</f>
        <v/>
      </c>
      <c r="M227" s="20" t="inlineStr">
        <is>
          <t>PENDING</t>
        </is>
      </c>
      <c r="N227" s="20" t="str"/>
      <c r="O227" s="20" t="str"/>
      <c r="P227" s="20" t="str"/>
      <c r="Q227" s="20" t="inlineStr">
        <is>
          <t>待确认</t>
        </is>
      </c>
      <c r="R227" s="20" t="inlineStr">
        <is>
          <t>未开始</t>
        </is>
      </c>
      <c r="S227">
        <f>IF(B227="","",IF(E227="已暴露","DEV_REG_ONLY","ANY"))</f>
        <v/>
      </c>
    </row>
    <row r="228">
      <c r="A228" s="20" t="n">
        <v>225</v>
      </c>
      <c r="B228" s="20" t="str"/>
      <c r="C228" s="20" t="str"/>
      <c r="D228" s="20" t="str"/>
      <c r="E228" s="20" t="str"/>
      <c r="F228" s="20" t="inlineStr">
        <is>
          <t>PENDING</t>
        </is>
      </c>
      <c r="G228" s="20" t="inlineStr">
        <is>
          <t>PENDING</t>
        </is>
      </c>
      <c r="H228" s="20" t="inlineStr">
        <is>
          <t>PENDING</t>
        </is>
      </c>
      <c r="I228" s="20" t="inlineStr">
        <is>
          <t>PENDING</t>
        </is>
      </c>
      <c r="J228" s="20" t="inlineStr">
        <is>
          <t>PENDING</t>
        </is>
      </c>
      <c r="K228" s="20" t="inlineStr">
        <is>
          <t>待确认</t>
        </is>
      </c>
      <c r="L228" s="20">
        <f>IF(B228="","",IF(OR(F228="FAIL",K228="泄漏"),"DROP",IF(G228="FAIL","RELABEL",IF(OR(H228="FAIL",I228="FAIL",J228="FAIL"),"REWORK",IF(COUNTIF(F228:J228,"PENDING")&gt;0,"PENDING","REUSE")))))</f>
        <v/>
      </c>
      <c r="M228" s="20" t="inlineStr">
        <is>
          <t>PENDING</t>
        </is>
      </c>
      <c r="N228" s="20" t="str"/>
      <c r="O228" s="20" t="str"/>
      <c r="P228" s="20" t="str"/>
      <c r="Q228" s="20" t="inlineStr">
        <is>
          <t>待确认</t>
        </is>
      </c>
      <c r="R228" s="20" t="inlineStr">
        <is>
          <t>未开始</t>
        </is>
      </c>
      <c r="S228">
        <f>IF(B228="","",IF(E228="已暴露","DEV_REG_ONLY","ANY"))</f>
        <v/>
      </c>
    </row>
    <row r="229">
      <c r="A229" s="20" t="n">
        <v>226</v>
      </c>
      <c r="B229" s="20" t="str"/>
      <c r="C229" s="20" t="str"/>
      <c r="D229" s="20" t="str"/>
      <c r="E229" s="20" t="str"/>
      <c r="F229" s="20" t="inlineStr">
        <is>
          <t>PENDING</t>
        </is>
      </c>
      <c r="G229" s="20" t="inlineStr">
        <is>
          <t>PENDING</t>
        </is>
      </c>
      <c r="H229" s="20" t="inlineStr">
        <is>
          <t>PENDING</t>
        </is>
      </c>
      <c r="I229" s="20" t="inlineStr">
        <is>
          <t>PENDING</t>
        </is>
      </c>
      <c r="J229" s="20" t="inlineStr">
        <is>
          <t>PENDING</t>
        </is>
      </c>
      <c r="K229" s="20" t="inlineStr">
        <is>
          <t>待确认</t>
        </is>
      </c>
      <c r="L229" s="20">
        <f>IF(B229="","",IF(OR(F229="FAIL",K229="泄漏"),"DROP",IF(G229="FAIL","RELABEL",IF(OR(H229="FAIL",I229="FAIL",J229="FAIL"),"REWORK",IF(COUNTIF(F229:J229,"PENDING")&gt;0,"PENDING","REUSE")))))</f>
        <v/>
      </c>
      <c r="M229" s="20" t="inlineStr">
        <is>
          <t>PENDING</t>
        </is>
      </c>
      <c r="N229" s="20" t="str"/>
      <c r="O229" s="20" t="str"/>
      <c r="P229" s="20" t="str"/>
      <c r="Q229" s="20" t="inlineStr">
        <is>
          <t>待确认</t>
        </is>
      </c>
      <c r="R229" s="20" t="inlineStr">
        <is>
          <t>未开始</t>
        </is>
      </c>
      <c r="S229">
        <f>IF(B229="","",IF(E229="已暴露","DEV_REG_ONLY","ANY"))</f>
        <v/>
      </c>
    </row>
    <row r="230">
      <c r="A230" s="20" t="n">
        <v>227</v>
      </c>
      <c r="B230" s="20" t="str"/>
      <c r="C230" s="20" t="str"/>
      <c r="D230" s="20" t="str"/>
      <c r="E230" s="20" t="str"/>
      <c r="F230" s="20" t="inlineStr">
        <is>
          <t>PENDING</t>
        </is>
      </c>
      <c r="G230" s="20" t="inlineStr">
        <is>
          <t>PENDING</t>
        </is>
      </c>
      <c r="H230" s="20" t="inlineStr">
        <is>
          <t>PENDING</t>
        </is>
      </c>
      <c r="I230" s="20" t="inlineStr">
        <is>
          <t>PENDING</t>
        </is>
      </c>
      <c r="J230" s="20" t="inlineStr">
        <is>
          <t>PENDING</t>
        </is>
      </c>
      <c r="K230" s="20" t="inlineStr">
        <is>
          <t>待确认</t>
        </is>
      </c>
      <c r="L230" s="20">
        <f>IF(B230="","",IF(OR(F230="FAIL",K230="泄漏"),"DROP",IF(G230="FAIL","RELABEL",IF(OR(H230="FAIL",I230="FAIL",J230="FAIL"),"REWORK",IF(COUNTIF(F230:J230,"PENDING")&gt;0,"PENDING","REUSE")))))</f>
        <v/>
      </c>
      <c r="M230" s="20" t="inlineStr">
        <is>
          <t>PENDING</t>
        </is>
      </c>
      <c r="N230" s="20" t="str"/>
      <c r="O230" s="20" t="str"/>
      <c r="P230" s="20" t="str"/>
      <c r="Q230" s="20" t="inlineStr">
        <is>
          <t>待确认</t>
        </is>
      </c>
      <c r="R230" s="20" t="inlineStr">
        <is>
          <t>未开始</t>
        </is>
      </c>
      <c r="S230">
        <f>IF(B230="","",IF(E230="已暴露","DEV_REG_ONLY","ANY"))</f>
        <v/>
      </c>
    </row>
    <row r="231">
      <c r="A231" s="20" t="n">
        <v>228</v>
      </c>
      <c r="B231" s="20" t="str"/>
      <c r="C231" s="20" t="str"/>
      <c r="D231" s="20" t="str"/>
      <c r="E231" s="20" t="str"/>
      <c r="F231" s="20" t="inlineStr">
        <is>
          <t>PENDING</t>
        </is>
      </c>
      <c r="G231" s="20" t="inlineStr">
        <is>
          <t>PENDING</t>
        </is>
      </c>
      <c r="H231" s="20" t="inlineStr">
        <is>
          <t>PENDING</t>
        </is>
      </c>
      <c r="I231" s="20" t="inlineStr">
        <is>
          <t>PENDING</t>
        </is>
      </c>
      <c r="J231" s="20" t="inlineStr">
        <is>
          <t>PENDING</t>
        </is>
      </c>
      <c r="K231" s="20" t="inlineStr">
        <is>
          <t>待确认</t>
        </is>
      </c>
      <c r="L231" s="20">
        <f>IF(B231="","",IF(OR(F231="FAIL",K231="泄漏"),"DROP",IF(G231="FAIL","RELABEL",IF(OR(H231="FAIL",I231="FAIL",J231="FAIL"),"REWORK",IF(COUNTIF(F231:J231,"PENDING")&gt;0,"PENDING","REUSE")))))</f>
        <v/>
      </c>
      <c r="M231" s="20" t="inlineStr">
        <is>
          <t>PENDING</t>
        </is>
      </c>
      <c r="N231" s="20" t="str"/>
      <c r="O231" s="20" t="str"/>
      <c r="P231" s="20" t="str"/>
      <c r="Q231" s="20" t="inlineStr">
        <is>
          <t>待确认</t>
        </is>
      </c>
      <c r="R231" s="20" t="inlineStr">
        <is>
          <t>未开始</t>
        </is>
      </c>
      <c r="S231">
        <f>IF(B231="","",IF(E231="已暴露","DEV_REG_ONLY","ANY"))</f>
        <v/>
      </c>
    </row>
    <row r="232">
      <c r="A232" s="20" t="n">
        <v>229</v>
      </c>
      <c r="B232" s="20" t="str"/>
      <c r="C232" s="20" t="str"/>
      <c r="D232" s="20" t="str"/>
      <c r="E232" s="20" t="str"/>
      <c r="F232" s="20" t="inlineStr">
        <is>
          <t>PENDING</t>
        </is>
      </c>
      <c r="G232" s="20" t="inlineStr">
        <is>
          <t>PENDING</t>
        </is>
      </c>
      <c r="H232" s="20" t="inlineStr">
        <is>
          <t>PENDING</t>
        </is>
      </c>
      <c r="I232" s="20" t="inlineStr">
        <is>
          <t>PENDING</t>
        </is>
      </c>
      <c r="J232" s="20" t="inlineStr">
        <is>
          <t>PENDING</t>
        </is>
      </c>
      <c r="K232" s="20" t="inlineStr">
        <is>
          <t>待确认</t>
        </is>
      </c>
      <c r="L232" s="20">
        <f>IF(B232="","",IF(OR(F232="FAIL",K232="泄漏"),"DROP",IF(G232="FAIL","RELABEL",IF(OR(H232="FAIL",I232="FAIL",J232="FAIL"),"REWORK",IF(COUNTIF(F232:J232,"PENDING")&gt;0,"PENDING","REUSE")))))</f>
        <v/>
      </c>
      <c r="M232" s="20" t="inlineStr">
        <is>
          <t>PENDING</t>
        </is>
      </c>
      <c r="N232" s="20" t="str"/>
      <c r="O232" s="20" t="str"/>
      <c r="P232" s="20" t="str"/>
      <c r="Q232" s="20" t="inlineStr">
        <is>
          <t>待确认</t>
        </is>
      </c>
      <c r="R232" s="20" t="inlineStr">
        <is>
          <t>未开始</t>
        </is>
      </c>
      <c r="S232">
        <f>IF(B232="","",IF(E232="已暴露","DEV_REG_ONLY","ANY"))</f>
        <v/>
      </c>
    </row>
    <row r="233">
      <c r="A233" s="20" t="n">
        <v>230</v>
      </c>
      <c r="B233" s="20" t="str"/>
      <c r="C233" s="20" t="str"/>
      <c r="D233" s="20" t="str"/>
      <c r="E233" s="20" t="str"/>
      <c r="F233" s="20" t="inlineStr">
        <is>
          <t>PENDING</t>
        </is>
      </c>
      <c r="G233" s="20" t="inlineStr">
        <is>
          <t>PENDING</t>
        </is>
      </c>
      <c r="H233" s="20" t="inlineStr">
        <is>
          <t>PENDING</t>
        </is>
      </c>
      <c r="I233" s="20" t="inlineStr">
        <is>
          <t>PENDING</t>
        </is>
      </c>
      <c r="J233" s="20" t="inlineStr">
        <is>
          <t>PENDING</t>
        </is>
      </c>
      <c r="K233" s="20" t="inlineStr">
        <is>
          <t>待确认</t>
        </is>
      </c>
      <c r="L233" s="20">
        <f>IF(B233="","",IF(OR(F233="FAIL",K233="泄漏"),"DROP",IF(G233="FAIL","RELABEL",IF(OR(H233="FAIL",I233="FAIL",J233="FAIL"),"REWORK",IF(COUNTIF(F233:J233,"PENDING")&gt;0,"PENDING","REUSE")))))</f>
        <v/>
      </c>
      <c r="M233" s="20" t="inlineStr">
        <is>
          <t>PENDING</t>
        </is>
      </c>
      <c r="N233" s="20" t="str"/>
      <c r="O233" s="20" t="str"/>
      <c r="P233" s="20" t="str"/>
      <c r="Q233" s="20" t="inlineStr">
        <is>
          <t>待确认</t>
        </is>
      </c>
      <c r="R233" s="20" t="inlineStr">
        <is>
          <t>未开始</t>
        </is>
      </c>
      <c r="S233">
        <f>IF(B233="","",IF(E233="已暴露","DEV_REG_ONLY","ANY"))</f>
        <v/>
      </c>
    </row>
    <row r="234">
      <c r="A234" s="20" t="n">
        <v>231</v>
      </c>
      <c r="B234" s="20" t="str"/>
      <c r="C234" s="20" t="str"/>
      <c r="D234" s="20" t="str"/>
      <c r="E234" s="20" t="str"/>
      <c r="F234" s="20" t="inlineStr">
        <is>
          <t>PENDING</t>
        </is>
      </c>
      <c r="G234" s="20" t="inlineStr">
        <is>
          <t>PENDING</t>
        </is>
      </c>
      <c r="H234" s="20" t="inlineStr">
        <is>
          <t>PENDING</t>
        </is>
      </c>
      <c r="I234" s="20" t="inlineStr">
        <is>
          <t>PENDING</t>
        </is>
      </c>
      <c r="J234" s="20" t="inlineStr">
        <is>
          <t>PENDING</t>
        </is>
      </c>
      <c r="K234" s="20" t="inlineStr">
        <is>
          <t>待确认</t>
        </is>
      </c>
      <c r="L234" s="20">
        <f>IF(B234="","",IF(OR(F234="FAIL",K234="泄漏"),"DROP",IF(G234="FAIL","RELABEL",IF(OR(H234="FAIL",I234="FAIL",J234="FAIL"),"REWORK",IF(COUNTIF(F234:J234,"PENDING")&gt;0,"PENDING","REUSE")))))</f>
        <v/>
      </c>
      <c r="M234" s="20" t="inlineStr">
        <is>
          <t>PENDING</t>
        </is>
      </c>
      <c r="N234" s="20" t="str"/>
      <c r="O234" s="20" t="str"/>
      <c r="P234" s="20" t="str"/>
      <c r="Q234" s="20" t="inlineStr">
        <is>
          <t>待确认</t>
        </is>
      </c>
      <c r="R234" s="20" t="inlineStr">
        <is>
          <t>未开始</t>
        </is>
      </c>
      <c r="S234">
        <f>IF(B234="","",IF(E234="已暴露","DEV_REG_ONLY","ANY"))</f>
        <v/>
      </c>
    </row>
    <row r="235">
      <c r="A235" s="20" t="n">
        <v>232</v>
      </c>
      <c r="B235" s="20" t="str"/>
      <c r="C235" s="20" t="str"/>
      <c r="D235" s="20" t="str"/>
      <c r="E235" s="20" t="str"/>
      <c r="F235" s="20" t="inlineStr">
        <is>
          <t>PENDING</t>
        </is>
      </c>
      <c r="G235" s="20" t="inlineStr">
        <is>
          <t>PENDING</t>
        </is>
      </c>
      <c r="H235" s="20" t="inlineStr">
        <is>
          <t>PENDING</t>
        </is>
      </c>
      <c r="I235" s="20" t="inlineStr">
        <is>
          <t>PENDING</t>
        </is>
      </c>
      <c r="J235" s="20" t="inlineStr">
        <is>
          <t>PENDING</t>
        </is>
      </c>
      <c r="K235" s="20" t="inlineStr">
        <is>
          <t>待确认</t>
        </is>
      </c>
      <c r="L235" s="20">
        <f>IF(B235="","",IF(OR(F235="FAIL",K235="泄漏"),"DROP",IF(G235="FAIL","RELABEL",IF(OR(H235="FAIL",I235="FAIL",J235="FAIL"),"REWORK",IF(COUNTIF(F235:J235,"PENDING")&gt;0,"PENDING","REUSE")))))</f>
        <v/>
      </c>
      <c r="M235" s="20" t="inlineStr">
        <is>
          <t>PENDING</t>
        </is>
      </c>
      <c r="N235" s="20" t="str"/>
      <c r="O235" s="20" t="str"/>
      <c r="P235" s="20" t="str"/>
      <c r="Q235" s="20" t="inlineStr">
        <is>
          <t>待确认</t>
        </is>
      </c>
      <c r="R235" s="20" t="inlineStr">
        <is>
          <t>未开始</t>
        </is>
      </c>
      <c r="S235">
        <f>IF(B235="","",IF(E235="已暴露","DEV_REG_ONLY","ANY"))</f>
        <v/>
      </c>
    </row>
    <row r="236">
      <c r="A236" s="20" t="n">
        <v>233</v>
      </c>
      <c r="B236" s="20" t="str"/>
      <c r="C236" s="20" t="str"/>
      <c r="D236" s="20" t="str"/>
      <c r="E236" s="20" t="str"/>
      <c r="F236" s="20" t="inlineStr">
        <is>
          <t>PENDING</t>
        </is>
      </c>
      <c r="G236" s="20" t="inlineStr">
        <is>
          <t>PENDING</t>
        </is>
      </c>
      <c r="H236" s="20" t="inlineStr">
        <is>
          <t>PENDING</t>
        </is>
      </c>
      <c r="I236" s="20" t="inlineStr">
        <is>
          <t>PENDING</t>
        </is>
      </c>
      <c r="J236" s="20" t="inlineStr">
        <is>
          <t>PENDING</t>
        </is>
      </c>
      <c r="K236" s="20" t="inlineStr">
        <is>
          <t>待确认</t>
        </is>
      </c>
      <c r="L236" s="20">
        <f>IF(B236="","",IF(OR(F236="FAIL",K236="泄漏"),"DROP",IF(G236="FAIL","RELABEL",IF(OR(H236="FAIL",I236="FAIL",J236="FAIL"),"REWORK",IF(COUNTIF(F236:J236,"PENDING")&gt;0,"PENDING","REUSE")))))</f>
        <v/>
      </c>
      <c r="M236" s="20" t="inlineStr">
        <is>
          <t>PENDING</t>
        </is>
      </c>
      <c r="N236" s="20" t="str"/>
      <c r="O236" s="20" t="str"/>
      <c r="P236" s="20" t="str"/>
      <c r="Q236" s="20" t="inlineStr">
        <is>
          <t>待确认</t>
        </is>
      </c>
      <c r="R236" s="20" t="inlineStr">
        <is>
          <t>未开始</t>
        </is>
      </c>
      <c r="S236">
        <f>IF(B236="","",IF(E236="已暴露","DEV_REG_ONLY","ANY"))</f>
        <v/>
      </c>
    </row>
    <row r="237">
      <c r="A237" s="20" t="n">
        <v>234</v>
      </c>
      <c r="B237" s="20" t="str"/>
      <c r="C237" s="20" t="str"/>
      <c r="D237" s="20" t="str"/>
      <c r="E237" s="20" t="str"/>
      <c r="F237" s="20" t="inlineStr">
        <is>
          <t>PENDING</t>
        </is>
      </c>
      <c r="G237" s="20" t="inlineStr">
        <is>
          <t>PENDING</t>
        </is>
      </c>
      <c r="H237" s="20" t="inlineStr">
        <is>
          <t>PENDING</t>
        </is>
      </c>
      <c r="I237" s="20" t="inlineStr">
        <is>
          <t>PENDING</t>
        </is>
      </c>
      <c r="J237" s="20" t="inlineStr">
        <is>
          <t>PENDING</t>
        </is>
      </c>
      <c r="K237" s="20" t="inlineStr">
        <is>
          <t>待确认</t>
        </is>
      </c>
      <c r="L237" s="20">
        <f>IF(B237="","",IF(OR(F237="FAIL",K237="泄漏"),"DROP",IF(G237="FAIL","RELABEL",IF(OR(H237="FAIL",I237="FAIL",J237="FAIL"),"REWORK",IF(COUNTIF(F237:J237,"PENDING")&gt;0,"PENDING","REUSE")))))</f>
        <v/>
      </c>
      <c r="M237" s="20" t="inlineStr">
        <is>
          <t>PENDING</t>
        </is>
      </c>
      <c r="N237" s="20" t="str"/>
      <c r="O237" s="20" t="str"/>
      <c r="P237" s="20" t="str"/>
      <c r="Q237" s="20" t="inlineStr">
        <is>
          <t>待确认</t>
        </is>
      </c>
      <c r="R237" s="20" t="inlineStr">
        <is>
          <t>未开始</t>
        </is>
      </c>
      <c r="S237">
        <f>IF(B237="","",IF(E237="已暴露","DEV_REG_ONLY","ANY"))</f>
        <v/>
      </c>
    </row>
    <row r="238">
      <c r="A238" s="20" t="n">
        <v>235</v>
      </c>
      <c r="B238" s="20" t="str"/>
      <c r="C238" s="20" t="str"/>
      <c r="D238" s="20" t="str"/>
      <c r="E238" s="20" t="str"/>
      <c r="F238" s="20" t="inlineStr">
        <is>
          <t>PENDING</t>
        </is>
      </c>
      <c r="G238" s="20" t="inlineStr">
        <is>
          <t>PENDING</t>
        </is>
      </c>
      <c r="H238" s="20" t="inlineStr">
        <is>
          <t>PENDING</t>
        </is>
      </c>
      <c r="I238" s="20" t="inlineStr">
        <is>
          <t>PENDING</t>
        </is>
      </c>
      <c r="J238" s="20" t="inlineStr">
        <is>
          <t>PENDING</t>
        </is>
      </c>
      <c r="K238" s="20" t="inlineStr">
        <is>
          <t>待确认</t>
        </is>
      </c>
      <c r="L238" s="20">
        <f>IF(B238="","",IF(OR(F238="FAIL",K238="泄漏"),"DROP",IF(G238="FAIL","RELABEL",IF(OR(H238="FAIL",I238="FAIL",J238="FAIL"),"REWORK",IF(COUNTIF(F238:J238,"PENDING")&gt;0,"PENDING","REUSE")))))</f>
        <v/>
      </c>
      <c r="M238" s="20" t="inlineStr">
        <is>
          <t>PENDING</t>
        </is>
      </c>
      <c r="N238" s="20" t="str"/>
      <c r="O238" s="20" t="str"/>
      <c r="P238" s="20" t="str"/>
      <c r="Q238" s="20" t="inlineStr">
        <is>
          <t>待确认</t>
        </is>
      </c>
      <c r="R238" s="20" t="inlineStr">
        <is>
          <t>未开始</t>
        </is>
      </c>
      <c r="S238">
        <f>IF(B238="","",IF(E238="已暴露","DEV_REG_ONLY","ANY"))</f>
        <v/>
      </c>
    </row>
    <row r="239">
      <c r="A239" s="20" t="n">
        <v>236</v>
      </c>
      <c r="B239" s="20" t="str"/>
      <c r="C239" s="20" t="str"/>
      <c r="D239" s="20" t="str"/>
      <c r="E239" s="20" t="str"/>
      <c r="F239" s="20" t="inlineStr">
        <is>
          <t>PENDING</t>
        </is>
      </c>
      <c r="G239" s="20" t="inlineStr">
        <is>
          <t>PENDING</t>
        </is>
      </c>
      <c r="H239" s="20" t="inlineStr">
        <is>
          <t>PENDING</t>
        </is>
      </c>
      <c r="I239" s="20" t="inlineStr">
        <is>
          <t>PENDING</t>
        </is>
      </c>
      <c r="J239" s="20" t="inlineStr">
        <is>
          <t>PENDING</t>
        </is>
      </c>
      <c r="K239" s="20" t="inlineStr">
        <is>
          <t>待确认</t>
        </is>
      </c>
      <c r="L239" s="20">
        <f>IF(B239="","",IF(OR(F239="FAIL",K239="泄漏"),"DROP",IF(G239="FAIL","RELABEL",IF(OR(H239="FAIL",I239="FAIL",J239="FAIL"),"REWORK",IF(COUNTIF(F239:J239,"PENDING")&gt;0,"PENDING","REUSE")))))</f>
        <v/>
      </c>
      <c r="M239" s="20" t="inlineStr">
        <is>
          <t>PENDING</t>
        </is>
      </c>
      <c r="N239" s="20" t="str"/>
      <c r="O239" s="20" t="str"/>
      <c r="P239" s="20" t="str"/>
      <c r="Q239" s="20" t="inlineStr">
        <is>
          <t>待确认</t>
        </is>
      </c>
      <c r="R239" s="20" t="inlineStr">
        <is>
          <t>未开始</t>
        </is>
      </c>
      <c r="S239">
        <f>IF(B239="","",IF(E239="已暴露","DEV_REG_ONLY","ANY"))</f>
        <v/>
      </c>
    </row>
    <row r="240">
      <c r="A240" s="20" t="n">
        <v>237</v>
      </c>
      <c r="B240" s="20" t="str"/>
      <c r="C240" s="20" t="str"/>
      <c r="D240" s="20" t="str"/>
      <c r="E240" s="20" t="str"/>
      <c r="F240" s="20" t="inlineStr">
        <is>
          <t>PENDING</t>
        </is>
      </c>
      <c r="G240" s="20" t="inlineStr">
        <is>
          <t>PENDING</t>
        </is>
      </c>
      <c r="H240" s="20" t="inlineStr">
        <is>
          <t>PENDING</t>
        </is>
      </c>
      <c r="I240" s="20" t="inlineStr">
        <is>
          <t>PENDING</t>
        </is>
      </c>
      <c r="J240" s="20" t="inlineStr">
        <is>
          <t>PENDING</t>
        </is>
      </c>
      <c r="K240" s="20" t="inlineStr">
        <is>
          <t>待确认</t>
        </is>
      </c>
      <c r="L240" s="20">
        <f>IF(B240="","",IF(OR(F240="FAIL",K240="泄漏"),"DROP",IF(G240="FAIL","RELABEL",IF(OR(H240="FAIL",I240="FAIL",J240="FAIL"),"REWORK",IF(COUNTIF(F240:J240,"PENDING")&gt;0,"PENDING","REUSE")))))</f>
        <v/>
      </c>
      <c r="M240" s="20" t="inlineStr">
        <is>
          <t>PENDING</t>
        </is>
      </c>
      <c r="N240" s="20" t="str"/>
      <c r="O240" s="20" t="str"/>
      <c r="P240" s="20" t="str"/>
      <c r="Q240" s="20" t="inlineStr">
        <is>
          <t>待确认</t>
        </is>
      </c>
      <c r="R240" s="20" t="inlineStr">
        <is>
          <t>未开始</t>
        </is>
      </c>
      <c r="S240">
        <f>IF(B240="","",IF(E240="已暴露","DEV_REG_ONLY","ANY"))</f>
        <v/>
      </c>
    </row>
    <row r="241">
      <c r="A241" s="20" t="n">
        <v>238</v>
      </c>
      <c r="B241" s="20" t="str"/>
      <c r="C241" s="20" t="str"/>
      <c r="D241" s="20" t="str"/>
      <c r="E241" s="20" t="str"/>
      <c r="F241" s="20" t="inlineStr">
        <is>
          <t>PENDING</t>
        </is>
      </c>
      <c r="G241" s="20" t="inlineStr">
        <is>
          <t>PENDING</t>
        </is>
      </c>
      <c r="H241" s="20" t="inlineStr">
        <is>
          <t>PENDING</t>
        </is>
      </c>
      <c r="I241" s="20" t="inlineStr">
        <is>
          <t>PENDING</t>
        </is>
      </c>
      <c r="J241" s="20" t="inlineStr">
        <is>
          <t>PENDING</t>
        </is>
      </c>
      <c r="K241" s="20" t="inlineStr">
        <is>
          <t>待确认</t>
        </is>
      </c>
      <c r="L241" s="20">
        <f>IF(B241="","",IF(OR(F241="FAIL",K241="泄漏"),"DROP",IF(G241="FAIL","RELABEL",IF(OR(H241="FAIL",I241="FAIL",J241="FAIL"),"REWORK",IF(COUNTIF(F241:J241,"PENDING")&gt;0,"PENDING","REUSE")))))</f>
        <v/>
      </c>
      <c r="M241" s="20" t="inlineStr">
        <is>
          <t>PENDING</t>
        </is>
      </c>
      <c r="N241" s="20" t="str"/>
      <c r="O241" s="20" t="str"/>
      <c r="P241" s="20" t="str"/>
      <c r="Q241" s="20" t="inlineStr">
        <is>
          <t>待确认</t>
        </is>
      </c>
      <c r="R241" s="20" t="inlineStr">
        <is>
          <t>未开始</t>
        </is>
      </c>
      <c r="S241">
        <f>IF(B241="","",IF(E241="已暴露","DEV_REG_ONLY","ANY"))</f>
        <v/>
      </c>
    </row>
    <row r="242">
      <c r="A242" s="20" t="n">
        <v>239</v>
      </c>
      <c r="B242" s="20" t="str"/>
      <c r="C242" s="20" t="str"/>
      <c r="D242" s="20" t="str"/>
      <c r="E242" s="20" t="str"/>
      <c r="F242" s="20" t="inlineStr">
        <is>
          <t>PENDING</t>
        </is>
      </c>
      <c r="G242" s="20" t="inlineStr">
        <is>
          <t>PENDING</t>
        </is>
      </c>
      <c r="H242" s="20" t="inlineStr">
        <is>
          <t>PENDING</t>
        </is>
      </c>
      <c r="I242" s="20" t="inlineStr">
        <is>
          <t>PENDING</t>
        </is>
      </c>
      <c r="J242" s="20" t="inlineStr">
        <is>
          <t>PENDING</t>
        </is>
      </c>
      <c r="K242" s="20" t="inlineStr">
        <is>
          <t>待确认</t>
        </is>
      </c>
      <c r="L242" s="20">
        <f>IF(B242="","",IF(OR(F242="FAIL",K242="泄漏"),"DROP",IF(G242="FAIL","RELABEL",IF(OR(H242="FAIL",I242="FAIL",J242="FAIL"),"REWORK",IF(COUNTIF(F242:J242,"PENDING")&gt;0,"PENDING","REUSE")))))</f>
        <v/>
      </c>
      <c r="M242" s="20" t="inlineStr">
        <is>
          <t>PENDING</t>
        </is>
      </c>
      <c r="N242" s="20" t="str"/>
      <c r="O242" s="20" t="str"/>
      <c r="P242" s="20" t="str"/>
      <c r="Q242" s="20" t="inlineStr">
        <is>
          <t>待确认</t>
        </is>
      </c>
      <c r="R242" s="20" t="inlineStr">
        <is>
          <t>未开始</t>
        </is>
      </c>
      <c r="S242">
        <f>IF(B242="","",IF(E242="已暴露","DEV_REG_ONLY","ANY"))</f>
        <v/>
      </c>
    </row>
    <row r="243">
      <c r="A243" s="20" t="n">
        <v>240</v>
      </c>
      <c r="B243" s="20" t="str"/>
      <c r="C243" s="20" t="str"/>
      <c r="D243" s="20" t="str"/>
      <c r="E243" s="20" t="str"/>
      <c r="F243" s="20" t="inlineStr">
        <is>
          <t>PENDING</t>
        </is>
      </c>
      <c r="G243" s="20" t="inlineStr">
        <is>
          <t>PENDING</t>
        </is>
      </c>
      <c r="H243" s="20" t="inlineStr">
        <is>
          <t>PENDING</t>
        </is>
      </c>
      <c r="I243" s="20" t="inlineStr">
        <is>
          <t>PENDING</t>
        </is>
      </c>
      <c r="J243" s="20" t="inlineStr">
        <is>
          <t>PENDING</t>
        </is>
      </c>
      <c r="K243" s="20" t="inlineStr">
        <is>
          <t>待确认</t>
        </is>
      </c>
      <c r="L243" s="20">
        <f>IF(B243="","",IF(OR(F243="FAIL",K243="泄漏"),"DROP",IF(G243="FAIL","RELABEL",IF(OR(H243="FAIL",I243="FAIL",J243="FAIL"),"REWORK",IF(COUNTIF(F243:J243,"PENDING")&gt;0,"PENDING","REUSE")))))</f>
        <v/>
      </c>
      <c r="M243" s="20" t="inlineStr">
        <is>
          <t>PENDING</t>
        </is>
      </c>
      <c r="N243" s="20" t="str"/>
      <c r="O243" s="20" t="str"/>
      <c r="P243" s="20" t="str"/>
      <c r="Q243" s="20" t="inlineStr">
        <is>
          <t>待确认</t>
        </is>
      </c>
      <c r="R243" s="20" t="inlineStr">
        <is>
          <t>未开始</t>
        </is>
      </c>
      <c r="S243">
        <f>IF(B243="","",IF(E243="已暴露","DEV_REG_ONLY","ANY"))</f>
        <v/>
      </c>
    </row>
    <row r="244">
      <c r="A244" s="20" t="n">
        <v>241</v>
      </c>
      <c r="B244" s="20" t="str"/>
      <c r="C244" s="20" t="str"/>
      <c r="D244" s="20" t="str"/>
      <c r="E244" s="20" t="str"/>
      <c r="F244" s="20" t="inlineStr">
        <is>
          <t>PENDING</t>
        </is>
      </c>
      <c r="G244" s="20" t="inlineStr">
        <is>
          <t>PENDING</t>
        </is>
      </c>
      <c r="H244" s="20" t="inlineStr">
        <is>
          <t>PENDING</t>
        </is>
      </c>
      <c r="I244" s="20" t="inlineStr">
        <is>
          <t>PENDING</t>
        </is>
      </c>
      <c r="J244" s="20" t="inlineStr">
        <is>
          <t>PENDING</t>
        </is>
      </c>
      <c r="K244" s="20" t="inlineStr">
        <is>
          <t>待确认</t>
        </is>
      </c>
      <c r="L244" s="20">
        <f>IF(B244="","",IF(OR(F244="FAIL",K244="泄漏"),"DROP",IF(G244="FAIL","RELABEL",IF(OR(H244="FAIL",I244="FAIL",J244="FAIL"),"REWORK",IF(COUNTIF(F244:J244,"PENDING")&gt;0,"PENDING","REUSE")))))</f>
        <v/>
      </c>
      <c r="M244" s="20" t="inlineStr">
        <is>
          <t>PENDING</t>
        </is>
      </c>
      <c r="N244" s="20" t="str"/>
      <c r="O244" s="20" t="str"/>
      <c r="P244" s="20" t="str"/>
      <c r="Q244" s="20" t="inlineStr">
        <is>
          <t>待确认</t>
        </is>
      </c>
      <c r="R244" s="20" t="inlineStr">
        <is>
          <t>未开始</t>
        </is>
      </c>
      <c r="S244">
        <f>IF(B244="","",IF(E244="已暴露","DEV_REG_ONLY","ANY"))</f>
        <v/>
      </c>
    </row>
    <row r="245">
      <c r="A245" s="20" t="n">
        <v>242</v>
      </c>
      <c r="B245" s="20" t="str"/>
      <c r="C245" s="20" t="str"/>
      <c r="D245" s="20" t="str"/>
      <c r="E245" s="20" t="str"/>
      <c r="F245" s="20" t="inlineStr">
        <is>
          <t>PENDING</t>
        </is>
      </c>
      <c r="G245" s="20" t="inlineStr">
        <is>
          <t>PENDING</t>
        </is>
      </c>
      <c r="H245" s="20" t="inlineStr">
        <is>
          <t>PENDING</t>
        </is>
      </c>
      <c r="I245" s="20" t="inlineStr">
        <is>
          <t>PENDING</t>
        </is>
      </c>
      <c r="J245" s="20" t="inlineStr">
        <is>
          <t>PENDING</t>
        </is>
      </c>
      <c r="K245" s="20" t="inlineStr">
        <is>
          <t>待确认</t>
        </is>
      </c>
      <c r="L245" s="20">
        <f>IF(B245="","",IF(OR(F245="FAIL",K245="泄漏"),"DROP",IF(G245="FAIL","RELABEL",IF(OR(H245="FAIL",I245="FAIL",J245="FAIL"),"REWORK",IF(COUNTIF(F245:J245,"PENDING")&gt;0,"PENDING","REUSE")))))</f>
        <v/>
      </c>
      <c r="M245" s="20" t="inlineStr">
        <is>
          <t>PENDING</t>
        </is>
      </c>
      <c r="N245" s="20" t="str"/>
      <c r="O245" s="20" t="str"/>
      <c r="P245" s="20" t="str"/>
      <c r="Q245" s="20" t="inlineStr">
        <is>
          <t>待确认</t>
        </is>
      </c>
      <c r="R245" s="20" t="inlineStr">
        <is>
          <t>未开始</t>
        </is>
      </c>
      <c r="S245">
        <f>IF(B245="","",IF(E245="已暴露","DEV_REG_ONLY","ANY"))</f>
        <v/>
      </c>
    </row>
    <row r="246">
      <c r="A246" s="20" t="n">
        <v>243</v>
      </c>
      <c r="B246" s="20" t="str"/>
      <c r="C246" s="20" t="str"/>
      <c r="D246" s="20" t="str"/>
      <c r="E246" s="20" t="str"/>
      <c r="F246" s="20" t="inlineStr">
        <is>
          <t>PENDING</t>
        </is>
      </c>
      <c r="G246" s="20" t="inlineStr">
        <is>
          <t>PENDING</t>
        </is>
      </c>
      <c r="H246" s="20" t="inlineStr">
        <is>
          <t>PENDING</t>
        </is>
      </c>
      <c r="I246" s="20" t="inlineStr">
        <is>
          <t>PENDING</t>
        </is>
      </c>
      <c r="J246" s="20" t="inlineStr">
        <is>
          <t>PENDING</t>
        </is>
      </c>
      <c r="K246" s="20" t="inlineStr">
        <is>
          <t>待确认</t>
        </is>
      </c>
      <c r="L246" s="20">
        <f>IF(B246="","",IF(OR(F246="FAIL",K246="泄漏"),"DROP",IF(G246="FAIL","RELABEL",IF(OR(H246="FAIL",I246="FAIL",J246="FAIL"),"REWORK",IF(COUNTIF(F246:J246,"PENDING")&gt;0,"PENDING","REUSE")))))</f>
        <v/>
      </c>
      <c r="M246" s="20" t="inlineStr">
        <is>
          <t>PENDING</t>
        </is>
      </c>
      <c r="N246" s="20" t="str"/>
      <c r="O246" s="20" t="str"/>
      <c r="P246" s="20" t="str"/>
      <c r="Q246" s="20" t="inlineStr">
        <is>
          <t>待确认</t>
        </is>
      </c>
      <c r="R246" s="20" t="inlineStr">
        <is>
          <t>未开始</t>
        </is>
      </c>
      <c r="S246">
        <f>IF(B246="","",IF(E246="已暴露","DEV_REG_ONLY","ANY"))</f>
        <v/>
      </c>
    </row>
    <row r="247">
      <c r="A247" s="20" t="n">
        <v>244</v>
      </c>
      <c r="B247" s="20" t="str"/>
      <c r="C247" s="20" t="str"/>
      <c r="D247" s="20" t="str"/>
      <c r="E247" s="20" t="str"/>
      <c r="F247" s="20" t="inlineStr">
        <is>
          <t>PENDING</t>
        </is>
      </c>
      <c r="G247" s="20" t="inlineStr">
        <is>
          <t>PENDING</t>
        </is>
      </c>
      <c r="H247" s="20" t="inlineStr">
        <is>
          <t>PENDING</t>
        </is>
      </c>
      <c r="I247" s="20" t="inlineStr">
        <is>
          <t>PENDING</t>
        </is>
      </c>
      <c r="J247" s="20" t="inlineStr">
        <is>
          <t>PENDING</t>
        </is>
      </c>
      <c r="K247" s="20" t="inlineStr">
        <is>
          <t>待确认</t>
        </is>
      </c>
      <c r="L247" s="20">
        <f>IF(B247="","",IF(OR(F247="FAIL",K247="泄漏"),"DROP",IF(G247="FAIL","RELABEL",IF(OR(H247="FAIL",I247="FAIL",J247="FAIL"),"REWORK",IF(COUNTIF(F247:J247,"PENDING")&gt;0,"PENDING","REUSE")))))</f>
        <v/>
      </c>
      <c r="M247" s="20" t="inlineStr">
        <is>
          <t>PENDING</t>
        </is>
      </c>
      <c r="N247" s="20" t="str"/>
      <c r="O247" s="20" t="str"/>
      <c r="P247" s="20" t="str"/>
      <c r="Q247" s="20" t="inlineStr">
        <is>
          <t>待确认</t>
        </is>
      </c>
      <c r="R247" s="20" t="inlineStr">
        <is>
          <t>未开始</t>
        </is>
      </c>
      <c r="S247">
        <f>IF(B247="","",IF(E247="已暴露","DEV_REG_ONLY","ANY"))</f>
        <v/>
      </c>
    </row>
    <row r="248">
      <c r="A248" s="20" t="n">
        <v>245</v>
      </c>
      <c r="B248" s="20" t="str"/>
      <c r="C248" s="20" t="str"/>
      <c r="D248" s="20" t="str"/>
      <c r="E248" s="20" t="str"/>
      <c r="F248" s="20" t="inlineStr">
        <is>
          <t>PENDING</t>
        </is>
      </c>
      <c r="G248" s="20" t="inlineStr">
        <is>
          <t>PENDING</t>
        </is>
      </c>
      <c r="H248" s="20" t="inlineStr">
        <is>
          <t>PENDING</t>
        </is>
      </c>
      <c r="I248" s="20" t="inlineStr">
        <is>
          <t>PENDING</t>
        </is>
      </c>
      <c r="J248" s="20" t="inlineStr">
        <is>
          <t>PENDING</t>
        </is>
      </c>
      <c r="K248" s="20" t="inlineStr">
        <is>
          <t>待确认</t>
        </is>
      </c>
      <c r="L248" s="20">
        <f>IF(B248="","",IF(OR(F248="FAIL",K248="泄漏"),"DROP",IF(G248="FAIL","RELABEL",IF(OR(H248="FAIL",I248="FAIL",J248="FAIL"),"REWORK",IF(COUNTIF(F248:J248,"PENDING")&gt;0,"PENDING","REUSE")))))</f>
        <v/>
      </c>
      <c r="M248" s="20" t="inlineStr">
        <is>
          <t>PENDING</t>
        </is>
      </c>
      <c r="N248" s="20" t="str"/>
      <c r="O248" s="20" t="str"/>
      <c r="P248" s="20" t="str"/>
      <c r="Q248" s="20" t="inlineStr">
        <is>
          <t>待确认</t>
        </is>
      </c>
      <c r="R248" s="20" t="inlineStr">
        <is>
          <t>未开始</t>
        </is>
      </c>
      <c r="S248">
        <f>IF(B248="","",IF(E248="已暴露","DEV_REG_ONLY","ANY"))</f>
        <v/>
      </c>
    </row>
    <row r="249">
      <c r="A249" s="20" t="n">
        <v>246</v>
      </c>
      <c r="B249" s="20" t="str"/>
      <c r="C249" s="20" t="str"/>
      <c r="D249" s="20" t="str"/>
      <c r="E249" s="20" t="str"/>
      <c r="F249" s="20" t="inlineStr">
        <is>
          <t>PENDING</t>
        </is>
      </c>
      <c r="G249" s="20" t="inlineStr">
        <is>
          <t>PENDING</t>
        </is>
      </c>
      <c r="H249" s="20" t="inlineStr">
        <is>
          <t>PENDING</t>
        </is>
      </c>
      <c r="I249" s="20" t="inlineStr">
        <is>
          <t>PENDING</t>
        </is>
      </c>
      <c r="J249" s="20" t="inlineStr">
        <is>
          <t>PENDING</t>
        </is>
      </c>
      <c r="K249" s="20" t="inlineStr">
        <is>
          <t>待确认</t>
        </is>
      </c>
      <c r="L249" s="20">
        <f>IF(B249="","",IF(OR(F249="FAIL",K249="泄漏"),"DROP",IF(G249="FAIL","RELABEL",IF(OR(H249="FAIL",I249="FAIL",J249="FAIL"),"REWORK",IF(COUNTIF(F249:J249,"PENDING")&gt;0,"PENDING","REUSE")))))</f>
        <v/>
      </c>
      <c r="M249" s="20" t="inlineStr">
        <is>
          <t>PENDING</t>
        </is>
      </c>
      <c r="N249" s="20" t="str"/>
      <c r="O249" s="20" t="str"/>
      <c r="P249" s="20" t="str"/>
      <c r="Q249" s="20" t="inlineStr">
        <is>
          <t>待确认</t>
        </is>
      </c>
      <c r="R249" s="20" t="inlineStr">
        <is>
          <t>未开始</t>
        </is>
      </c>
      <c r="S249">
        <f>IF(B249="","",IF(E249="已暴露","DEV_REG_ONLY","ANY"))</f>
        <v/>
      </c>
    </row>
    <row r="250">
      <c r="A250" s="20" t="n">
        <v>247</v>
      </c>
      <c r="B250" s="20" t="str"/>
      <c r="C250" s="20" t="str"/>
      <c r="D250" s="20" t="str"/>
      <c r="E250" s="20" t="str"/>
      <c r="F250" s="20" t="inlineStr">
        <is>
          <t>PENDING</t>
        </is>
      </c>
      <c r="G250" s="20" t="inlineStr">
        <is>
          <t>PENDING</t>
        </is>
      </c>
      <c r="H250" s="20" t="inlineStr">
        <is>
          <t>PENDING</t>
        </is>
      </c>
      <c r="I250" s="20" t="inlineStr">
        <is>
          <t>PENDING</t>
        </is>
      </c>
      <c r="J250" s="20" t="inlineStr">
        <is>
          <t>PENDING</t>
        </is>
      </c>
      <c r="K250" s="20" t="inlineStr">
        <is>
          <t>待确认</t>
        </is>
      </c>
      <c r="L250" s="20">
        <f>IF(B250="","",IF(OR(F250="FAIL",K250="泄漏"),"DROP",IF(G250="FAIL","RELABEL",IF(OR(H250="FAIL",I250="FAIL",J250="FAIL"),"REWORK",IF(COUNTIF(F250:J250,"PENDING")&gt;0,"PENDING","REUSE")))))</f>
        <v/>
      </c>
      <c r="M250" s="20" t="inlineStr">
        <is>
          <t>PENDING</t>
        </is>
      </c>
      <c r="N250" s="20" t="str"/>
      <c r="O250" s="20" t="str"/>
      <c r="P250" s="20" t="str"/>
      <c r="Q250" s="20" t="inlineStr">
        <is>
          <t>待确认</t>
        </is>
      </c>
      <c r="R250" s="20" t="inlineStr">
        <is>
          <t>未开始</t>
        </is>
      </c>
      <c r="S250">
        <f>IF(B250="","",IF(E250="已暴露","DEV_REG_ONLY","ANY"))</f>
        <v/>
      </c>
    </row>
    <row r="251">
      <c r="A251" s="20" t="n">
        <v>248</v>
      </c>
      <c r="B251" s="20" t="str"/>
      <c r="C251" s="20" t="str"/>
      <c r="D251" s="20" t="str"/>
      <c r="E251" s="20" t="str"/>
      <c r="F251" s="20" t="inlineStr">
        <is>
          <t>PENDING</t>
        </is>
      </c>
      <c r="G251" s="20" t="inlineStr">
        <is>
          <t>PENDING</t>
        </is>
      </c>
      <c r="H251" s="20" t="inlineStr">
        <is>
          <t>PENDING</t>
        </is>
      </c>
      <c r="I251" s="20" t="inlineStr">
        <is>
          <t>PENDING</t>
        </is>
      </c>
      <c r="J251" s="20" t="inlineStr">
        <is>
          <t>PENDING</t>
        </is>
      </c>
      <c r="K251" s="20" t="inlineStr">
        <is>
          <t>待确认</t>
        </is>
      </c>
      <c r="L251" s="20">
        <f>IF(B251="","",IF(OR(F251="FAIL",K251="泄漏"),"DROP",IF(G251="FAIL","RELABEL",IF(OR(H251="FAIL",I251="FAIL",J251="FAIL"),"REWORK",IF(COUNTIF(F251:J251,"PENDING")&gt;0,"PENDING","REUSE")))))</f>
        <v/>
      </c>
      <c r="M251" s="20" t="inlineStr">
        <is>
          <t>PENDING</t>
        </is>
      </c>
      <c r="N251" s="20" t="str"/>
      <c r="O251" s="20" t="str"/>
      <c r="P251" s="20" t="str"/>
      <c r="Q251" s="20" t="inlineStr">
        <is>
          <t>待确认</t>
        </is>
      </c>
      <c r="R251" s="20" t="inlineStr">
        <is>
          <t>未开始</t>
        </is>
      </c>
      <c r="S251">
        <f>IF(B251="","",IF(E251="已暴露","DEV_REG_ONLY","ANY"))</f>
        <v/>
      </c>
    </row>
    <row r="252">
      <c r="A252" s="20" t="n">
        <v>249</v>
      </c>
      <c r="B252" s="20" t="str"/>
      <c r="C252" s="20" t="str"/>
      <c r="D252" s="20" t="str"/>
      <c r="E252" s="20" t="str"/>
      <c r="F252" s="20" t="inlineStr">
        <is>
          <t>PENDING</t>
        </is>
      </c>
      <c r="G252" s="20" t="inlineStr">
        <is>
          <t>PENDING</t>
        </is>
      </c>
      <c r="H252" s="20" t="inlineStr">
        <is>
          <t>PENDING</t>
        </is>
      </c>
      <c r="I252" s="20" t="inlineStr">
        <is>
          <t>PENDING</t>
        </is>
      </c>
      <c r="J252" s="20" t="inlineStr">
        <is>
          <t>PENDING</t>
        </is>
      </c>
      <c r="K252" s="20" t="inlineStr">
        <is>
          <t>待确认</t>
        </is>
      </c>
      <c r="L252" s="20">
        <f>IF(B252="","",IF(OR(F252="FAIL",K252="泄漏"),"DROP",IF(G252="FAIL","RELABEL",IF(OR(H252="FAIL",I252="FAIL",J252="FAIL"),"REWORK",IF(COUNTIF(F252:J252,"PENDING")&gt;0,"PENDING","REUSE")))))</f>
        <v/>
      </c>
      <c r="M252" s="20" t="inlineStr">
        <is>
          <t>PENDING</t>
        </is>
      </c>
      <c r="N252" s="20" t="str"/>
      <c r="O252" s="20" t="str"/>
      <c r="P252" s="20" t="str"/>
      <c r="Q252" s="20" t="inlineStr">
        <is>
          <t>待确认</t>
        </is>
      </c>
      <c r="R252" s="20" t="inlineStr">
        <is>
          <t>未开始</t>
        </is>
      </c>
      <c r="S252">
        <f>IF(B252="","",IF(E252="已暴露","DEV_REG_ONLY","ANY"))</f>
        <v/>
      </c>
    </row>
    <row r="253">
      <c r="A253" s="20" t="n">
        <v>250</v>
      </c>
      <c r="B253" s="20" t="str"/>
      <c r="C253" s="20" t="str"/>
      <c r="D253" s="20" t="str"/>
      <c r="E253" s="20" t="str"/>
      <c r="F253" s="20" t="inlineStr">
        <is>
          <t>PENDING</t>
        </is>
      </c>
      <c r="G253" s="20" t="inlineStr">
        <is>
          <t>PENDING</t>
        </is>
      </c>
      <c r="H253" s="20" t="inlineStr">
        <is>
          <t>PENDING</t>
        </is>
      </c>
      <c r="I253" s="20" t="inlineStr">
        <is>
          <t>PENDING</t>
        </is>
      </c>
      <c r="J253" s="20" t="inlineStr">
        <is>
          <t>PENDING</t>
        </is>
      </c>
      <c r="K253" s="20" t="inlineStr">
        <is>
          <t>待确认</t>
        </is>
      </c>
      <c r="L253" s="20">
        <f>IF(B253="","",IF(OR(F253="FAIL",K253="泄漏"),"DROP",IF(G253="FAIL","RELABEL",IF(OR(H253="FAIL",I253="FAIL",J253="FAIL"),"REWORK",IF(COUNTIF(F253:J253,"PENDING")&gt;0,"PENDING","REUSE")))))</f>
        <v/>
      </c>
      <c r="M253" s="20" t="inlineStr">
        <is>
          <t>PENDING</t>
        </is>
      </c>
      <c r="N253" s="20" t="str"/>
      <c r="O253" s="20" t="str"/>
      <c r="P253" s="20" t="str"/>
      <c r="Q253" s="20" t="inlineStr">
        <is>
          <t>待确认</t>
        </is>
      </c>
      <c r="R253" s="20" t="inlineStr">
        <is>
          <t>未开始</t>
        </is>
      </c>
      <c r="S253">
        <f>IF(B253="","",IF(E253="已暴露","DEV_REG_ONLY","ANY"))</f>
        <v/>
      </c>
    </row>
    <row r="254">
      <c r="A254" s="20" t="n">
        <v>251</v>
      </c>
      <c r="B254" s="20" t="str"/>
      <c r="C254" s="20" t="str"/>
      <c r="D254" s="20" t="str"/>
      <c r="E254" s="20" t="str"/>
      <c r="F254" s="20" t="inlineStr">
        <is>
          <t>PENDING</t>
        </is>
      </c>
      <c r="G254" s="20" t="inlineStr">
        <is>
          <t>PENDING</t>
        </is>
      </c>
      <c r="H254" s="20" t="inlineStr">
        <is>
          <t>PENDING</t>
        </is>
      </c>
      <c r="I254" s="20" t="inlineStr">
        <is>
          <t>PENDING</t>
        </is>
      </c>
      <c r="J254" s="20" t="inlineStr">
        <is>
          <t>PENDING</t>
        </is>
      </c>
      <c r="K254" s="20" t="inlineStr">
        <is>
          <t>待确认</t>
        </is>
      </c>
      <c r="L254" s="20">
        <f>IF(B254="","",IF(OR(F254="FAIL",K254="泄漏"),"DROP",IF(G254="FAIL","RELABEL",IF(OR(H254="FAIL",I254="FAIL",J254="FAIL"),"REWORK",IF(COUNTIF(F254:J254,"PENDING")&gt;0,"PENDING","REUSE")))))</f>
        <v/>
      </c>
      <c r="M254" s="20" t="inlineStr">
        <is>
          <t>PENDING</t>
        </is>
      </c>
      <c r="N254" s="20" t="str"/>
      <c r="O254" s="20" t="str"/>
      <c r="P254" s="20" t="str"/>
      <c r="Q254" s="20" t="inlineStr">
        <is>
          <t>待确认</t>
        </is>
      </c>
      <c r="R254" s="20" t="inlineStr">
        <is>
          <t>未开始</t>
        </is>
      </c>
      <c r="S254">
        <f>IF(B254="","",IF(E254="已暴露","DEV_REG_ONLY","ANY"))</f>
        <v/>
      </c>
    </row>
    <row r="255">
      <c r="A255" s="20" t="n">
        <v>252</v>
      </c>
      <c r="B255" s="20" t="str"/>
      <c r="C255" s="20" t="str"/>
      <c r="D255" s="20" t="str"/>
      <c r="E255" s="20" t="str"/>
      <c r="F255" s="20" t="inlineStr">
        <is>
          <t>PENDING</t>
        </is>
      </c>
      <c r="G255" s="20" t="inlineStr">
        <is>
          <t>PENDING</t>
        </is>
      </c>
      <c r="H255" s="20" t="inlineStr">
        <is>
          <t>PENDING</t>
        </is>
      </c>
      <c r="I255" s="20" t="inlineStr">
        <is>
          <t>PENDING</t>
        </is>
      </c>
      <c r="J255" s="20" t="inlineStr">
        <is>
          <t>PENDING</t>
        </is>
      </c>
      <c r="K255" s="20" t="inlineStr">
        <is>
          <t>待确认</t>
        </is>
      </c>
      <c r="L255" s="20">
        <f>IF(B255="","",IF(OR(F255="FAIL",K255="泄漏"),"DROP",IF(G255="FAIL","RELABEL",IF(OR(H255="FAIL",I255="FAIL",J255="FAIL"),"REWORK",IF(COUNTIF(F255:J255,"PENDING")&gt;0,"PENDING","REUSE")))))</f>
        <v/>
      </c>
      <c r="M255" s="20" t="inlineStr">
        <is>
          <t>PENDING</t>
        </is>
      </c>
      <c r="N255" s="20" t="str"/>
      <c r="O255" s="20" t="str"/>
      <c r="P255" s="20" t="str"/>
      <c r="Q255" s="20" t="inlineStr">
        <is>
          <t>待确认</t>
        </is>
      </c>
      <c r="R255" s="20" t="inlineStr">
        <is>
          <t>未开始</t>
        </is>
      </c>
      <c r="S255">
        <f>IF(B255="","",IF(E255="已暴露","DEV_REG_ONLY","ANY"))</f>
        <v/>
      </c>
    </row>
    <row r="256">
      <c r="A256" s="20" t="n">
        <v>253</v>
      </c>
      <c r="B256" s="20" t="str"/>
      <c r="C256" s="20" t="str"/>
      <c r="D256" s="20" t="str"/>
      <c r="E256" s="20" t="str"/>
      <c r="F256" s="20" t="inlineStr">
        <is>
          <t>PENDING</t>
        </is>
      </c>
      <c r="G256" s="20" t="inlineStr">
        <is>
          <t>PENDING</t>
        </is>
      </c>
      <c r="H256" s="20" t="inlineStr">
        <is>
          <t>PENDING</t>
        </is>
      </c>
      <c r="I256" s="20" t="inlineStr">
        <is>
          <t>PENDING</t>
        </is>
      </c>
      <c r="J256" s="20" t="inlineStr">
        <is>
          <t>PENDING</t>
        </is>
      </c>
      <c r="K256" s="20" t="inlineStr">
        <is>
          <t>待确认</t>
        </is>
      </c>
      <c r="L256" s="20">
        <f>IF(B256="","",IF(OR(F256="FAIL",K256="泄漏"),"DROP",IF(G256="FAIL","RELABEL",IF(OR(H256="FAIL",I256="FAIL",J256="FAIL"),"REWORK",IF(COUNTIF(F256:J256,"PENDING")&gt;0,"PENDING","REUSE")))))</f>
        <v/>
      </c>
      <c r="M256" s="20" t="inlineStr">
        <is>
          <t>PENDING</t>
        </is>
      </c>
      <c r="N256" s="20" t="str"/>
      <c r="O256" s="20" t="str"/>
      <c r="P256" s="20" t="str"/>
      <c r="Q256" s="20" t="inlineStr">
        <is>
          <t>待确认</t>
        </is>
      </c>
      <c r="R256" s="20" t="inlineStr">
        <is>
          <t>未开始</t>
        </is>
      </c>
      <c r="S256">
        <f>IF(B256="","",IF(E256="已暴露","DEV_REG_ONLY","ANY"))</f>
        <v/>
      </c>
    </row>
    <row r="257">
      <c r="A257" s="20" t="n">
        <v>254</v>
      </c>
      <c r="B257" s="20" t="str"/>
      <c r="C257" s="20" t="str"/>
      <c r="D257" s="20" t="str"/>
      <c r="E257" s="20" t="str"/>
      <c r="F257" s="20" t="inlineStr">
        <is>
          <t>PENDING</t>
        </is>
      </c>
      <c r="G257" s="20" t="inlineStr">
        <is>
          <t>PENDING</t>
        </is>
      </c>
      <c r="H257" s="20" t="inlineStr">
        <is>
          <t>PENDING</t>
        </is>
      </c>
      <c r="I257" s="20" t="inlineStr">
        <is>
          <t>PENDING</t>
        </is>
      </c>
      <c r="J257" s="20" t="inlineStr">
        <is>
          <t>PENDING</t>
        </is>
      </c>
      <c r="K257" s="20" t="inlineStr">
        <is>
          <t>待确认</t>
        </is>
      </c>
      <c r="L257" s="20">
        <f>IF(B257="","",IF(OR(F257="FAIL",K257="泄漏"),"DROP",IF(G257="FAIL","RELABEL",IF(OR(H257="FAIL",I257="FAIL",J257="FAIL"),"REWORK",IF(COUNTIF(F257:J257,"PENDING")&gt;0,"PENDING","REUSE")))))</f>
        <v/>
      </c>
      <c r="M257" s="20" t="inlineStr">
        <is>
          <t>PENDING</t>
        </is>
      </c>
      <c r="N257" s="20" t="str"/>
      <c r="O257" s="20" t="str"/>
      <c r="P257" s="20" t="str"/>
      <c r="Q257" s="20" t="inlineStr">
        <is>
          <t>待确认</t>
        </is>
      </c>
      <c r="R257" s="20" t="inlineStr">
        <is>
          <t>未开始</t>
        </is>
      </c>
      <c r="S257">
        <f>IF(B257="","",IF(E257="已暴露","DEV_REG_ONLY","ANY"))</f>
        <v/>
      </c>
    </row>
    <row r="258">
      <c r="A258" s="20" t="n">
        <v>255</v>
      </c>
      <c r="B258" s="20" t="str"/>
      <c r="C258" s="20" t="str"/>
      <c r="D258" s="20" t="str"/>
      <c r="E258" s="20" t="str"/>
      <c r="F258" s="20" t="inlineStr">
        <is>
          <t>PENDING</t>
        </is>
      </c>
      <c r="G258" s="20" t="inlineStr">
        <is>
          <t>PENDING</t>
        </is>
      </c>
      <c r="H258" s="20" t="inlineStr">
        <is>
          <t>PENDING</t>
        </is>
      </c>
      <c r="I258" s="20" t="inlineStr">
        <is>
          <t>PENDING</t>
        </is>
      </c>
      <c r="J258" s="20" t="inlineStr">
        <is>
          <t>PENDING</t>
        </is>
      </c>
      <c r="K258" s="20" t="inlineStr">
        <is>
          <t>待确认</t>
        </is>
      </c>
      <c r="L258" s="20">
        <f>IF(B258="","",IF(OR(F258="FAIL",K258="泄漏"),"DROP",IF(G258="FAIL","RELABEL",IF(OR(H258="FAIL",I258="FAIL",J258="FAIL"),"REWORK",IF(COUNTIF(F258:J258,"PENDING")&gt;0,"PENDING","REUSE")))))</f>
        <v/>
      </c>
      <c r="M258" s="20" t="inlineStr">
        <is>
          <t>PENDING</t>
        </is>
      </c>
      <c r="N258" s="20" t="str"/>
      <c r="O258" s="20" t="str"/>
      <c r="P258" s="20" t="str"/>
      <c r="Q258" s="20" t="inlineStr">
        <is>
          <t>待确认</t>
        </is>
      </c>
      <c r="R258" s="20" t="inlineStr">
        <is>
          <t>未开始</t>
        </is>
      </c>
      <c r="S258">
        <f>IF(B258="","",IF(E258="已暴露","DEV_REG_ONLY","ANY"))</f>
        <v/>
      </c>
    </row>
    <row r="259">
      <c r="A259" s="20" t="n">
        <v>256</v>
      </c>
      <c r="B259" s="20" t="str"/>
      <c r="C259" s="20" t="str"/>
      <c r="D259" s="20" t="str"/>
      <c r="E259" s="20" t="str"/>
      <c r="F259" s="20" t="inlineStr">
        <is>
          <t>PENDING</t>
        </is>
      </c>
      <c r="G259" s="20" t="inlineStr">
        <is>
          <t>PENDING</t>
        </is>
      </c>
      <c r="H259" s="20" t="inlineStr">
        <is>
          <t>PENDING</t>
        </is>
      </c>
      <c r="I259" s="20" t="inlineStr">
        <is>
          <t>PENDING</t>
        </is>
      </c>
      <c r="J259" s="20" t="inlineStr">
        <is>
          <t>PENDING</t>
        </is>
      </c>
      <c r="K259" s="20" t="inlineStr">
        <is>
          <t>待确认</t>
        </is>
      </c>
      <c r="L259" s="20">
        <f>IF(B259="","",IF(OR(F259="FAIL",K259="泄漏"),"DROP",IF(G259="FAIL","RELABEL",IF(OR(H259="FAIL",I259="FAIL",J259="FAIL"),"REWORK",IF(COUNTIF(F259:J259,"PENDING")&gt;0,"PENDING","REUSE")))))</f>
        <v/>
      </c>
      <c r="M259" s="20" t="inlineStr">
        <is>
          <t>PENDING</t>
        </is>
      </c>
      <c r="N259" s="20" t="str"/>
      <c r="O259" s="20" t="str"/>
      <c r="P259" s="20" t="str"/>
      <c r="Q259" s="20" t="inlineStr">
        <is>
          <t>待确认</t>
        </is>
      </c>
      <c r="R259" s="20" t="inlineStr">
        <is>
          <t>未开始</t>
        </is>
      </c>
      <c r="S259">
        <f>IF(B259="","",IF(E259="已暴露","DEV_REG_ONLY","ANY"))</f>
        <v/>
      </c>
    </row>
    <row r="260">
      <c r="A260" s="20" t="n">
        <v>257</v>
      </c>
      <c r="B260" s="20" t="str"/>
      <c r="C260" s="20" t="str"/>
      <c r="D260" s="20" t="str"/>
      <c r="E260" s="20" t="str"/>
      <c r="F260" s="20" t="inlineStr">
        <is>
          <t>PENDING</t>
        </is>
      </c>
      <c r="G260" s="20" t="inlineStr">
        <is>
          <t>PENDING</t>
        </is>
      </c>
      <c r="H260" s="20" t="inlineStr">
        <is>
          <t>PENDING</t>
        </is>
      </c>
      <c r="I260" s="20" t="inlineStr">
        <is>
          <t>PENDING</t>
        </is>
      </c>
      <c r="J260" s="20" t="inlineStr">
        <is>
          <t>PENDING</t>
        </is>
      </c>
      <c r="K260" s="20" t="inlineStr">
        <is>
          <t>待确认</t>
        </is>
      </c>
      <c r="L260" s="20">
        <f>IF(B260="","",IF(OR(F260="FAIL",K260="泄漏"),"DROP",IF(G260="FAIL","RELABEL",IF(OR(H260="FAIL",I260="FAIL",J260="FAIL"),"REWORK",IF(COUNTIF(F260:J260,"PENDING")&gt;0,"PENDING","REUSE")))))</f>
        <v/>
      </c>
      <c r="M260" s="20" t="inlineStr">
        <is>
          <t>PENDING</t>
        </is>
      </c>
      <c r="N260" s="20" t="str"/>
      <c r="O260" s="20" t="str"/>
      <c r="P260" s="20" t="str"/>
      <c r="Q260" s="20" t="inlineStr">
        <is>
          <t>待确认</t>
        </is>
      </c>
      <c r="R260" s="20" t="inlineStr">
        <is>
          <t>未开始</t>
        </is>
      </c>
      <c r="S260">
        <f>IF(B260="","",IF(E260="已暴露","DEV_REG_ONLY","ANY"))</f>
        <v/>
      </c>
    </row>
    <row r="261">
      <c r="A261" s="20" t="n">
        <v>258</v>
      </c>
      <c r="B261" s="20" t="str"/>
      <c r="C261" s="20" t="str"/>
      <c r="D261" s="20" t="str"/>
      <c r="E261" s="20" t="str"/>
      <c r="F261" s="20" t="inlineStr">
        <is>
          <t>PENDING</t>
        </is>
      </c>
      <c r="G261" s="20" t="inlineStr">
        <is>
          <t>PENDING</t>
        </is>
      </c>
      <c r="H261" s="20" t="inlineStr">
        <is>
          <t>PENDING</t>
        </is>
      </c>
      <c r="I261" s="20" t="inlineStr">
        <is>
          <t>PENDING</t>
        </is>
      </c>
      <c r="J261" s="20" t="inlineStr">
        <is>
          <t>PENDING</t>
        </is>
      </c>
      <c r="K261" s="20" t="inlineStr">
        <is>
          <t>待确认</t>
        </is>
      </c>
      <c r="L261" s="20">
        <f>IF(B261="","",IF(OR(F261="FAIL",K261="泄漏"),"DROP",IF(G261="FAIL","RELABEL",IF(OR(H261="FAIL",I261="FAIL",J261="FAIL"),"REWORK",IF(COUNTIF(F261:J261,"PENDING")&gt;0,"PENDING","REUSE")))))</f>
        <v/>
      </c>
      <c r="M261" s="20" t="inlineStr">
        <is>
          <t>PENDING</t>
        </is>
      </c>
      <c r="N261" s="20" t="str"/>
      <c r="O261" s="20" t="str"/>
      <c r="P261" s="20" t="str"/>
      <c r="Q261" s="20" t="inlineStr">
        <is>
          <t>待确认</t>
        </is>
      </c>
      <c r="R261" s="20" t="inlineStr">
        <is>
          <t>未开始</t>
        </is>
      </c>
      <c r="S261">
        <f>IF(B261="","",IF(E261="已暴露","DEV_REG_ONLY","ANY"))</f>
        <v/>
      </c>
    </row>
    <row r="262">
      <c r="A262" s="20" t="n">
        <v>259</v>
      </c>
      <c r="B262" s="20" t="str"/>
      <c r="C262" s="20" t="str"/>
      <c r="D262" s="20" t="str"/>
      <c r="E262" s="20" t="str"/>
      <c r="F262" s="20" t="inlineStr">
        <is>
          <t>PENDING</t>
        </is>
      </c>
      <c r="G262" s="20" t="inlineStr">
        <is>
          <t>PENDING</t>
        </is>
      </c>
      <c r="H262" s="20" t="inlineStr">
        <is>
          <t>PENDING</t>
        </is>
      </c>
      <c r="I262" s="20" t="inlineStr">
        <is>
          <t>PENDING</t>
        </is>
      </c>
      <c r="J262" s="20" t="inlineStr">
        <is>
          <t>PENDING</t>
        </is>
      </c>
      <c r="K262" s="20" t="inlineStr">
        <is>
          <t>待确认</t>
        </is>
      </c>
      <c r="L262" s="20">
        <f>IF(B262="","",IF(OR(F262="FAIL",K262="泄漏"),"DROP",IF(G262="FAIL","RELABEL",IF(OR(H262="FAIL",I262="FAIL",J262="FAIL"),"REWORK",IF(COUNTIF(F262:J262,"PENDING")&gt;0,"PENDING","REUSE")))))</f>
        <v/>
      </c>
      <c r="M262" s="20" t="inlineStr">
        <is>
          <t>PENDING</t>
        </is>
      </c>
      <c r="N262" s="20" t="str"/>
      <c r="O262" s="20" t="str"/>
      <c r="P262" s="20" t="str"/>
      <c r="Q262" s="20" t="inlineStr">
        <is>
          <t>待确认</t>
        </is>
      </c>
      <c r="R262" s="20" t="inlineStr">
        <is>
          <t>未开始</t>
        </is>
      </c>
      <c r="S262">
        <f>IF(B262="","",IF(E262="已暴露","DEV_REG_ONLY","ANY"))</f>
        <v/>
      </c>
    </row>
    <row r="263">
      <c r="A263" s="20" t="n">
        <v>260</v>
      </c>
      <c r="B263" s="20" t="str"/>
      <c r="C263" s="20" t="str"/>
      <c r="D263" s="20" t="str"/>
      <c r="E263" s="20" t="str"/>
      <c r="F263" s="20" t="inlineStr">
        <is>
          <t>PENDING</t>
        </is>
      </c>
      <c r="G263" s="20" t="inlineStr">
        <is>
          <t>PENDING</t>
        </is>
      </c>
      <c r="H263" s="20" t="inlineStr">
        <is>
          <t>PENDING</t>
        </is>
      </c>
      <c r="I263" s="20" t="inlineStr">
        <is>
          <t>PENDING</t>
        </is>
      </c>
      <c r="J263" s="20" t="inlineStr">
        <is>
          <t>PENDING</t>
        </is>
      </c>
      <c r="K263" s="20" t="inlineStr">
        <is>
          <t>待确认</t>
        </is>
      </c>
      <c r="L263" s="20">
        <f>IF(B263="","",IF(OR(F263="FAIL",K263="泄漏"),"DROP",IF(G263="FAIL","RELABEL",IF(OR(H263="FAIL",I263="FAIL",J263="FAIL"),"REWORK",IF(COUNTIF(F263:J263,"PENDING")&gt;0,"PENDING","REUSE")))))</f>
        <v/>
      </c>
      <c r="M263" s="20" t="inlineStr">
        <is>
          <t>PENDING</t>
        </is>
      </c>
      <c r="N263" s="20" t="str"/>
      <c r="O263" s="20" t="str"/>
      <c r="P263" s="20" t="str"/>
      <c r="Q263" s="20" t="inlineStr">
        <is>
          <t>待确认</t>
        </is>
      </c>
      <c r="R263" s="20" t="inlineStr">
        <is>
          <t>未开始</t>
        </is>
      </c>
      <c r="S263">
        <f>IF(B263="","",IF(E263="已暴露","DEV_REG_ONLY","ANY"))</f>
        <v/>
      </c>
    </row>
    <row r="264">
      <c r="A264" s="20" t="n">
        <v>261</v>
      </c>
      <c r="B264" s="20" t="str"/>
      <c r="C264" s="20" t="str"/>
      <c r="D264" s="20" t="str"/>
      <c r="E264" s="20" t="str"/>
      <c r="F264" s="20" t="inlineStr">
        <is>
          <t>PENDING</t>
        </is>
      </c>
      <c r="G264" s="20" t="inlineStr">
        <is>
          <t>PENDING</t>
        </is>
      </c>
      <c r="H264" s="20" t="inlineStr">
        <is>
          <t>PENDING</t>
        </is>
      </c>
      <c r="I264" s="20" t="inlineStr">
        <is>
          <t>PENDING</t>
        </is>
      </c>
      <c r="J264" s="20" t="inlineStr">
        <is>
          <t>PENDING</t>
        </is>
      </c>
      <c r="K264" s="20" t="inlineStr">
        <is>
          <t>待确认</t>
        </is>
      </c>
      <c r="L264" s="20">
        <f>IF(B264="","",IF(OR(F264="FAIL",K264="泄漏"),"DROP",IF(G264="FAIL","RELABEL",IF(OR(H264="FAIL",I264="FAIL",J264="FAIL"),"REWORK",IF(COUNTIF(F264:J264,"PENDING")&gt;0,"PENDING","REUSE")))))</f>
        <v/>
      </c>
      <c r="M264" s="20" t="inlineStr">
        <is>
          <t>PENDING</t>
        </is>
      </c>
      <c r="N264" s="20" t="str"/>
      <c r="O264" s="20" t="str"/>
      <c r="P264" s="20" t="str"/>
      <c r="Q264" s="20" t="inlineStr">
        <is>
          <t>待确认</t>
        </is>
      </c>
      <c r="R264" s="20" t="inlineStr">
        <is>
          <t>未开始</t>
        </is>
      </c>
      <c r="S264">
        <f>IF(B264="","",IF(E264="已暴露","DEV_REG_ONLY","ANY"))</f>
        <v/>
      </c>
    </row>
    <row r="265">
      <c r="A265" s="20" t="n">
        <v>262</v>
      </c>
      <c r="B265" s="20" t="str"/>
      <c r="C265" s="20" t="str"/>
      <c r="D265" s="20" t="str"/>
      <c r="E265" s="20" t="str"/>
      <c r="F265" s="20" t="inlineStr">
        <is>
          <t>PENDING</t>
        </is>
      </c>
      <c r="G265" s="20" t="inlineStr">
        <is>
          <t>PENDING</t>
        </is>
      </c>
      <c r="H265" s="20" t="inlineStr">
        <is>
          <t>PENDING</t>
        </is>
      </c>
      <c r="I265" s="20" t="inlineStr">
        <is>
          <t>PENDING</t>
        </is>
      </c>
      <c r="J265" s="20" t="inlineStr">
        <is>
          <t>PENDING</t>
        </is>
      </c>
      <c r="K265" s="20" t="inlineStr">
        <is>
          <t>待确认</t>
        </is>
      </c>
      <c r="L265" s="20">
        <f>IF(B265="","",IF(OR(F265="FAIL",K265="泄漏"),"DROP",IF(G265="FAIL","RELABEL",IF(OR(H265="FAIL",I265="FAIL",J265="FAIL"),"REWORK",IF(COUNTIF(F265:J265,"PENDING")&gt;0,"PENDING","REUSE")))))</f>
        <v/>
      </c>
      <c r="M265" s="20" t="inlineStr">
        <is>
          <t>PENDING</t>
        </is>
      </c>
      <c r="N265" s="20" t="str"/>
      <c r="O265" s="20" t="str"/>
      <c r="P265" s="20" t="str"/>
      <c r="Q265" s="20" t="inlineStr">
        <is>
          <t>待确认</t>
        </is>
      </c>
      <c r="R265" s="20" t="inlineStr">
        <is>
          <t>未开始</t>
        </is>
      </c>
      <c r="S265">
        <f>IF(B265="","",IF(E265="已暴露","DEV_REG_ONLY","ANY"))</f>
        <v/>
      </c>
    </row>
    <row r="266">
      <c r="A266" s="20" t="n">
        <v>263</v>
      </c>
      <c r="B266" s="20" t="str"/>
      <c r="C266" s="20" t="str"/>
      <c r="D266" s="20" t="str"/>
      <c r="E266" s="20" t="str"/>
      <c r="F266" s="20" t="inlineStr">
        <is>
          <t>PENDING</t>
        </is>
      </c>
      <c r="G266" s="20" t="inlineStr">
        <is>
          <t>PENDING</t>
        </is>
      </c>
      <c r="H266" s="20" t="inlineStr">
        <is>
          <t>PENDING</t>
        </is>
      </c>
      <c r="I266" s="20" t="inlineStr">
        <is>
          <t>PENDING</t>
        </is>
      </c>
      <c r="J266" s="20" t="inlineStr">
        <is>
          <t>PENDING</t>
        </is>
      </c>
      <c r="K266" s="20" t="inlineStr">
        <is>
          <t>待确认</t>
        </is>
      </c>
      <c r="L266" s="20">
        <f>IF(B266="","",IF(OR(F266="FAIL",K266="泄漏"),"DROP",IF(G266="FAIL","RELABEL",IF(OR(H266="FAIL",I266="FAIL",J266="FAIL"),"REWORK",IF(COUNTIF(F266:J266,"PENDING")&gt;0,"PENDING","REUSE")))))</f>
        <v/>
      </c>
      <c r="M266" s="20" t="inlineStr">
        <is>
          <t>PENDING</t>
        </is>
      </c>
      <c r="N266" s="20" t="str"/>
      <c r="O266" s="20" t="str"/>
      <c r="P266" s="20" t="str"/>
      <c r="Q266" s="20" t="inlineStr">
        <is>
          <t>待确认</t>
        </is>
      </c>
      <c r="R266" s="20" t="inlineStr">
        <is>
          <t>未开始</t>
        </is>
      </c>
      <c r="S266">
        <f>IF(B266="","",IF(E266="已暴露","DEV_REG_ONLY","ANY"))</f>
        <v/>
      </c>
    </row>
    <row r="267">
      <c r="A267" s="20" t="n">
        <v>264</v>
      </c>
      <c r="B267" s="20" t="str"/>
      <c r="C267" s="20" t="str"/>
      <c r="D267" s="20" t="str"/>
      <c r="E267" s="20" t="str"/>
      <c r="F267" s="20" t="inlineStr">
        <is>
          <t>PENDING</t>
        </is>
      </c>
      <c r="G267" s="20" t="inlineStr">
        <is>
          <t>PENDING</t>
        </is>
      </c>
      <c r="H267" s="20" t="inlineStr">
        <is>
          <t>PENDING</t>
        </is>
      </c>
      <c r="I267" s="20" t="inlineStr">
        <is>
          <t>PENDING</t>
        </is>
      </c>
      <c r="J267" s="20" t="inlineStr">
        <is>
          <t>PENDING</t>
        </is>
      </c>
      <c r="K267" s="20" t="inlineStr">
        <is>
          <t>待确认</t>
        </is>
      </c>
      <c r="L267" s="20">
        <f>IF(B267="","",IF(OR(F267="FAIL",K267="泄漏"),"DROP",IF(G267="FAIL","RELABEL",IF(OR(H267="FAIL",I267="FAIL",J267="FAIL"),"REWORK",IF(COUNTIF(F267:J267,"PENDING")&gt;0,"PENDING","REUSE")))))</f>
        <v/>
      </c>
      <c r="M267" s="20" t="inlineStr">
        <is>
          <t>PENDING</t>
        </is>
      </c>
      <c r="N267" s="20" t="str"/>
      <c r="O267" s="20" t="str"/>
      <c r="P267" s="20" t="str"/>
      <c r="Q267" s="20" t="inlineStr">
        <is>
          <t>待确认</t>
        </is>
      </c>
      <c r="R267" s="20" t="inlineStr">
        <is>
          <t>未开始</t>
        </is>
      </c>
      <c r="S267">
        <f>IF(B267="","",IF(E267="已暴露","DEV_REG_ONLY","ANY"))</f>
        <v/>
      </c>
    </row>
    <row r="268">
      <c r="A268" s="20" t="n">
        <v>265</v>
      </c>
      <c r="B268" s="20" t="str"/>
      <c r="C268" s="20" t="str"/>
      <c r="D268" s="20" t="str"/>
      <c r="E268" s="20" t="str"/>
      <c r="F268" s="20" t="inlineStr">
        <is>
          <t>PENDING</t>
        </is>
      </c>
      <c r="G268" s="20" t="inlineStr">
        <is>
          <t>PENDING</t>
        </is>
      </c>
      <c r="H268" s="20" t="inlineStr">
        <is>
          <t>PENDING</t>
        </is>
      </c>
      <c r="I268" s="20" t="inlineStr">
        <is>
          <t>PENDING</t>
        </is>
      </c>
      <c r="J268" s="20" t="inlineStr">
        <is>
          <t>PENDING</t>
        </is>
      </c>
      <c r="K268" s="20" t="inlineStr">
        <is>
          <t>待确认</t>
        </is>
      </c>
      <c r="L268" s="20">
        <f>IF(B268="","",IF(OR(F268="FAIL",K268="泄漏"),"DROP",IF(G268="FAIL","RELABEL",IF(OR(H268="FAIL",I268="FAIL",J268="FAIL"),"REWORK",IF(COUNTIF(F268:J268,"PENDING")&gt;0,"PENDING","REUSE")))))</f>
        <v/>
      </c>
      <c r="M268" s="20" t="inlineStr">
        <is>
          <t>PENDING</t>
        </is>
      </c>
      <c r="N268" s="20" t="str"/>
      <c r="O268" s="20" t="str"/>
      <c r="P268" s="20" t="str"/>
      <c r="Q268" s="20" t="inlineStr">
        <is>
          <t>待确认</t>
        </is>
      </c>
      <c r="R268" s="20" t="inlineStr">
        <is>
          <t>未开始</t>
        </is>
      </c>
      <c r="S268">
        <f>IF(B268="","",IF(E268="已暴露","DEV_REG_ONLY","ANY"))</f>
        <v/>
      </c>
    </row>
    <row r="269">
      <c r="A269" s="20" t="n">
        <v>266</v>
      </c>
      <c r="B269" s="20" t="str"/>
      <c r="C269" s="20" t="str"/>
      <c r="D269" s="20" t="str"/>
      <c r="E269" s="20" t="str"/>
      <c r="F269" s="20" t="inlineStr">
        <is>
          <t>PENDING</t>
        </is>
      </c>
      <c r="G269" s="20" t="inlineStr">
        <is>
          <t>PENDING</t>
        </is>
      </c>
      <c r="H269" s="20" t="inlineStr">
        <is>
          <t>PENDING</t>
        </is>
      </c>
      <c r="I269" s="20" t="inlineStr">
        <is>
          <t>PENDING</t>
        </is>
      </c>
      <c r="J269" s="20" t="inlineStr">
        <is>
          <t>PENDING</t>
        </is>
      </c>
      <c r="K269" s="20" t="inlineStr">
        <is>
          <t>待确认</t>
        </is>
      </c>
      <c r="L269" s="20">
        <f>IF(B269="","",IF(OR(F269="FAIL",K269="泄漏"),"DROP",IF(G269="FAIL","RELABEL",IF(OR(H269="FAIL",I269="FAIL",J269="FAIL"),"REWORK",IF(COUNTIF(F269:J269,"PENDING")&gt;0,"PENDING","REUSE")))))</f>
        <v/>
      </c>
      <c r="M269" s="20" t="inlineStr">
        <is>
          <t>PENDING</t>
        </is>
      </c>
      <c r="N269" s="20" t="str"/>
      <c r="O269" s="20" t="str"/>
      <c r="P269" s="20" t="str"/>
      <c r="Q269" s="20" t="inlineStr">
        <is>
          <t>待确认</t>
        </is>
      </c>
      <c r="R269" s="20" t="inlineStr">
        <is>
          <t>未开始</t>
        </is>
      </c>
      <c r="S269">
        <f>IF(B269="","",IF(E269="已暴露","DEV_REG_ONLY","ANY"))</f>
        <v/>
      </c>
    </row>
    <row r="270">
      <c r="A270" s="20" t="n">
        <v>267</v>
      </c>
      <c r="B270" s="20" t="str"/>
      <c r="C270" s="20" t="str"/>
      <c r="D270" s="20" t="str"/>
      <c r="E270" s="20" t="str"/>
      <c r="F270" s="20" t="inlineStr">
        <is>
          <t>PENDING</t>
        </is>
      </c>
      <c r="G270" s="20" t="inlineStr">
        <is>
          <t>PENDING</t>
        </is>
      </c>
      <c r="H270" s="20" t="inlineStr">
        <is>
          <t>PENDING</t>
        </is>
      </c>
      <c r="I270" s="20" t="inlineStr">
        <is>
          <t>PENDING</t>
        </is>
      </c>
      <c r="J270" s="20" t="inlineStr">
        <is>
          <t>PENDING</t>
        </is>
      </c>
      <c r="K270" s="20" t="inlineStr">
        <is>
          <t>待确认</t>
        </is>
      </c>
      <c r="L270" s="20">
        <f>IF(B270="","",IF(OR(F270="FAIL",K270="泄漏"),"DROP",IF(G270="FAIL","RELABEL",IF(OR(H270="FAIL",I270="FAIL",J270="FAIL"),"REWORK",IF(COUNTIF(F270:J270,"PENDING")&gt;0,"PENDING","REUSE")))))</f>
        <v/>
      </c>
      <c r="M270" s="20" t="inlineStr">
        <is>
          <t>PENDING</t>
        </is>
      </c>
      <c r="N270" s="20" t="str"/>
      <c r="O270" s="20" t="str"/>
      <c r="P270" s="20" t="str"/>
      <c r="Q270" s="20" t="inlineStr">
        <is>
          <t>待确认</t>
        </is>
      </c>
      <c r="R270" s="20" t="inlineStr">
        <is>
          <t>未开始</t>
        </is>
      </c>
      <c r="S270">
        <f>IF(B270="","",IF(E270="已暴露","DEV_REG_ONLY","ANY"))</f>
        <v/>
      </c>
    </row>
    <row r="271">
      <c r="A271" s="20" t="n">
        <v>268</v>
      </c>
      <c r="B271" s="20" t="str"/>
      <c r="C271" s="20" t="str"/>
      <c r="D271" s="20" t="str"/>
      <c r="E271" s="20" t="str"/>
      <c r="F271" s="20" t="inlineStr">
        <is>
          <t>PENDING</t>
        </is>
      </c>
      <c r="G271" s="20" t="inlineStr">
        <is>
          <t>PENDING</t>
        </is>
      </c>
      <c r="H271" s="20" t="inlineStr">
        <is>
          <t>PENDING</t>
        </is>
      </c>
      <c r="I271" s="20" t="inlineStr">
        <is>
          <t>PENDING</t>
        </is>
      </c>
      <c r="J271" s="20" t="inlineStr">
        <is>
          <t>PENDING</t>
        </is>
      </c>
      <c r="K271" s="20" t="inlineStr">
        <is>
          <t>待确认</t>
        </is>
      </c>
      <c r="L271" s="20">
        <f>IF(B271="","",IF(OR(F271="FAIL",K271="泄漏"),"DROP",IF(G271="FAIL","RELABEL",IF(OR(H271="FAIL",I271="FAIL",J271="FAIL"),"REWORK",IF(COUNTIF(F271:J271,"PENDING")&gt;0,"PENDING","REUSE")))))</f>
        <v/>
      </c>
      <c r="M271" s="20" t="inlineStr">
        <is>
          <t>PENDING</t>
        </is>
      </c>
      <c r="N271" s="20" t="str"/>
      <c r="O271" s="20" t="str"/>
      <c r="P271" s="20" t="str"/>
      <c r="Q271" s="20" t="inlineStr">
        <is>
          <t>待确认</t>
        </is>
      </c>
      <c r="R271" s="20" t="inlineStr">
        <is>
          <t>未开始</t>
        </is>
      </c>
      <c r="S271">
        <f>IF(B271="","",IF(E271="已暴露","DEV_REG_ONLY","ANY"))</f>
        <v/>
      </c>
    </row>
    <row r="272">
      <c r="A272" s="20" t="n">
        <v>269</v>
      </c>
      <c r="B272" s="20" t="str"/>
      <c r="C272" s="20" t="str"/>
      <c r="D272" s="20" t="str"/>
      <c r="E272" s="20" t="str"/>
      <c r="F272" s="20" t="inlineStr">
        <is>
          <t>PENDING</t>
        </is>
      </c>
      <c r="G272" s="20" t="inlineStr">
        <is>
          <t>PENDING</t>
        </is>
      </c>
      <c r="H272" s="20" t="inlineStr">
        <is>
          <t>PENDING</t>
        </is>
      </c>
      <c r="I272" s="20" t="inlineStr">
        <is>
          <t>PENDING</t>
        </is>
      </c>
      <c r="J272" s="20" t="inlineStr">
        <is>
          <t>PENDING</t>
        </is>
      </c>
      <c r="K272" s="20" t="inlineStr">
        <is>
          <t>待确认</t>
        </is>
      </c>
      <c r="L272" s="20">
        <f>IF(B272="","",IF(OR(F272="FAIL",K272="泄漏"),"DROP",IF(G272="FAIL","RELABEL",IF(OR(H272="FAIL",I272="FAIL",J272="FAIL"),"REWORK",IF(COUNTIF(F272:J272,"PENDING")&gt;0,"PENDING","REUSE")))))</f>
        <v/>
      </c>
      <c r="M272" s="20" t="inlineStr">
        <is>
          <t>PENDING</t>
        </is>
      </c>
      <c r="N272" s="20" t="str"/>
      <c r="O272" s="20" t="str"/>
      <c r="P272" s="20" t="str"/>
      <c r="Q272" s="20" t="inlineStr">
        <is>
          <t>待确认</t>
        </is>
      </c>
      <c r="R272" s="20" t="inlineStr">
        <is>
          <t>未开始</t>
        </is>
      </c>
      <c r="S272">
        <f>IF(B272="","",IF(E272="已暴露","DEV_REG_ONLY","ANY"))</f>
        <v/>
      </c>
    </row>
    <row r="273">
      <c r="A273" s="20" t="n">
        <v>270</v>
      </c>
      <c r="B273" s="20" t="str"/>
      <c r="C273" s="20" t="str"/>
      <c r="D273" s="20" t="str"/>
      <c r="E273" s="20" t="str"/>
      <c r="F273" s="20" t="inlineStr">
        <is>
          <t>PENDING</t>
        </is>
      </c>
      <c r="G273" s="20" t="inlineStr">
        <is>
          <t>PENDING</t>
        </is>
      </c>
      <c r="H273" s="20" t="inlineStr">
        <is>
          <t>PENDING</t>
        </is>
      </c>
      <c r="I273" s="20" t="inlineStr">
        <is>
          <t>PENDING</t>
        </is>
      </c>
      <c r="J273" s="20" t="inlineStr">
        <is>
          <t>PENDING</t>
        </is>
      </c>
      <c r="K273" s="20" t="inlineStr">
        <is>
          <t>待确认</t>
        </is>
      </c>
      <c r="L273" s="20">
        <f>IF(B273="","",IF(OR(F273="FAIL",K273="泄漏"),"DROP",IF(G273="FAIL","RELABEL",IF(OR(H273="FAIL",I273="FAIL",J273="FAIL"),"REWORK",IF(COUNTIF(F273:J273,"PENDING")&gt;0,"PENDING","REUSE")))))</f>
        <v/>
      </c>
      <c r="M273" s="20" t="inlineStr">
        <is>
          <t>PENDING</t>
        </is>
      </c>
      <c r="N273" s="20" t="str"/>
      <c r="O273" s="20" t="str"/>
      <c r="P273" s="20" t="str"/>
      <c r="Q273" s="20" t="inlineStr">
        <is>
          <t>待确认</t>
        </is>
      </c>
      <c r="R273" s="20" t="inlineStr">
        <is>
          <t>未开始</t>
        </is>
      </c>
      <c r="S273">
        <f>IF(B273="","",IF(E273="已暴露","DEV_REG_ONLY","ANY"))</f>
        <v/>
      </c>
    </row>
    <row r="274">
      <c r="A274" s="20" t="n">
        <v>271</v>
      </c>
      <c r="B274" s="20" t="str"/>
      <c r="C274" s="20" t="str"/>
      <c r="D274" s="20" t="str"/>
      <c r="E274" s="20" t="str"/>
      <c r="F274" s="20" t="inlineStr">
        <is>
          <t>PENDING</t>
        </is>
      </c>
      <c r="G274" s="20" t="inlineStr">
        <is>
          <t>PENDING</t>
        </is>
      </c>
      <c r="H274" s="20" t="inlineStr">
        <is>
          <t>PENDING</t>
        </is>
      </c>
      <c r="I274" s="20" t="inlineStr">
        <is>
          <t>PENDING</t>
        </is>
      </c>
      <c r="J274" s="20" t="inlineStr">
        <is>
          <t>PENDING</t>
        </is>
      </c>
      <c r="K274" s="20" t="inlineStr">
        <is>
          <t>待确认</t>
        </is>
      </c>
      <c r="L274" s="20">
        <f>IF(B274="","",IF(OR(F274="FAIL",K274="泄漏"),"DROP",IF(G274="FAIL","RELABEL",IF(OR(H274="FAIL",I274="FAIL",J274="FAIL"),"REWORK",IF(COUNTIF(F274:J274,"PENDING")&gt;0,"PENDING","REUSE")))))</f>
        <v/>
      </c>
      <c r="M274" s="20" t="inlineStr">
        <is>
          <t>PENDING</t>
        </is>
      </c>
      <c r="N274" s="20" t="str"/>
      <c r="O274" s="20" t="str"/>
      <c r="P274" s="20" t="str"/>
      <c r="Q274" s="20" t="inlineStr">
        <is>
          <t>待确认</t>
        </is>
      </c>
      <c r="R274" s="20" t="inlineStr">
        <is>
          <t>未开始</t>
        </is>
      </c>
      <c r="S274">
        <f>IF(B274="","",IF(E274="已暴露","DEV_REG_ONLY","ANY"))</f>
        <v/>
      </c>
    </row>
    <row r="275">
      <c r="A275" s="20" t="n">
        <v>272</v>
      </c>
      <c r="B275" s="20" t="str"/>
      <c r="C275" s="20" t="str"/>
      <c r="D275" s="20" t="str"/>
      <c r="E275" s="20" t="str"/>
      <c r="F275" s="20" t="inlineStr">
        <is>
          <t>PENDING</t>
        </is>
      </c>
      <c r="G275" s="20" t="inlineStr">
        <is>
          <t>PENDING</t>
        </is>
      </c>
      <c r="H275" s="20" t="inlineStr">
        <is>
          <t>PENDING</t>
        </is>
      </c>
      <c r="I275" s="20" t="inlineStr">
        <is>
          <t>PENDING</t>
        </is>
      </c>
      <c r="J275" s="20" t="inlineStr">
        <is>
          <t>PENDING</t>
        </is>
      </c>
      <c r="K275" s="20" t="inlineStr">
        <is>
          <t>待确认</t>
        </is>
      </c>
      <c r="L275" s="20">
        <f>IF(B275="","",IF(OR(F275="FAIL",K275="泄漏"),"DROP",IF(G275="FAIL","RELABEL",IF(OR(H275="FAIL",I275="FAIL",J275="FAIL"),"REWORK",IF(COUNTIF(F275:J275,"PENDING")&gt;0,"PENDING","REUSE")))))</f>
        <v/>
      </c>
      <c r="M275" s="20" t="inlineStr">
        <is>
          <t>PENDING</t>
        </is>
      </c>
      <c r="N275" s="20" t="str"/>
      <c r="O275" s="20" t="str"/>
      <c r="P275" s="20" t="str"/>
      <c r="Q275" s="20" t="inlineStr">
        <is>
          <t>待确认</t>
        </is>
      </c>
      <c r="R275" s="20" t="inlineStr">
        <is>
          <t>未开始</t>
        </is>
      </c>
      <c r="S275">
        <f>IF(B275="","",IF(E275="已暴露","DEV_REG_ONLY","ANY"))</f>
        <v/>
      </c>
    </row>
    <row r="276">
      <c r="A276" s="20" t="n">
        <v>273</v>
      </c>
      <c r="B276" s="20" t="str"/>
      <c r="C276" s="20" t="str"/>
      <c r="D276" s="20" t="str"/>
      <c r="E276" s="20" t="str"/>
      <c r="F276" s="20" t="inlineStr">
        <is>
          <t>PENDING</t>
        </is>
      </c>
      <c r="G276" s="20" t="inlineStr">
        <is>
          <t>PENDING</t>
        </is>
      </c>
      <c r="H276" s="20" t="inlineStr">
        <is>
          <t>PENDING</t>
        </is>
      </c>
      <c r="I276" s="20" t="inlineStr">
        <is>
          <t>PENDING</t>
        </is>
      </c>
      <c r="J276" s="20" t="inlineStr">
        <is>
          <t>PENDING</t>
        </is>
      </c>
      <c r="K276" s="20" t="inlineStr">
        <is>
          <t>待确认</t>
        </is>
      </c>
      <c r="L276" s="20">
        <f>IF(B276="","",IF(OR(F276="FAIL",K276="泄漏"),"DROP",IF(G276="FAIL","RELABEL",IF(OR(H276="FAIL",I276="FAIL",J276="FAIL"),"REWORK",IF(COUNTIF(F276:J276,"PENDING")&gt;0,"PENDING","REUSE")))))</f>
        <v/>
      </c>
      <c r="M276" s="20" t="inlineStr">
        <is>
          <t>PENDING</t>
        </is>
      </c>
      <c r="N276" s="20" t="str"/>
      <c r="O276" s="20" t="str"/>
      <c r="P276" s="20" t="str"/>
      <c r="Q276" s="20" t="inlineStr">
        <is>
          <t>待确认</t>
        </is>
      </c>
      <c r="R276" s="20" t="inlineStr">
        <is>
          <t>未开始</t>
        </is>
      </c>
      <c r="S276">
        <f>IF(B276="","",IF(E276="已暴露","DEV_REG_ONLY","ANY"))</f>
        <v/>
      </c>
    </row>
    <row r="277">
      <c r="A277" s="20" t="n">
        <v>274</v>
      </c>
      <c r="B277" s="20" t="str"/>
      <c r="C277" s="20" t="str"/>
      <c r="D277" s="20" t="str"/>
      <c r="E277" s="20" t="str"/>
      <c r="F277" s="20" t="inlineStr">
        <is>
          <t>PENDING</t>
        </is>
      </c>
      <c r="G277" s="20" t="inlineStr">
        <is>
          <t>PENDING</t>
        </is>
      </c>
      <c r="H277" s="20" t="inlineStr">
        <is>
          <t>PENDING</t>
        </is>
      </c>
      <c r="I277" s="20" t="inlineStr">
        <is>
          <t>PENDING</t>
        </is>
      </c>
      <c r="J277" s="20" t="inlineStr">
        <is>
          <t>PENDING</t>
        </is>
      </c>
      <c r="K277" s="20" t="inlineStr">
        <is>
          <t>待确认</t>
        </is>
      </c>
      <c r="L277" s="20">
        <f>IF(B277="","",IF(OR(F277="FAIL",K277="泄漏"),"DROP",IF(G277="FAIL","RELABEL",IF(OR(H277="FAIL",I277="FAIL",J277="FAIL"),"REWORK",IF(COUNTIF(F277:J277,"PENDING")&gt;0,"PENDING","REUSE")))))</f>
        <v/>
      </c>
      <c r="M277" s="20" t="inlineStr">
        <is>
          <t>PENDING</t>
        </is>
      </c>
      <c r="N277" s="20" t="str"/>
      <c r="O277" s="20" t="str"/>
      <c r="P277" s="20" t="str"/>
      <c r="Q277" s="20" t="inlineStr">
        <is>
          <t>待确认</t>
        </is>
      </c>
      <c r="R277" s="20" t="inlineStr">
        <is>
          <t>未开始</t>
        </is>
      </c>
      <c r="S277">
        <f>IF(B277="","",IF(E277="已暴露","DEV_REG_ONLY","ANY"))</f>
        <v/>
      </c>
    </row>
    <row r="278">
      <c r="A278" s="20" t="n">
        <v>275</v>
      </c>
      <c r="B278" s="20" t="str"/>
      <c r="C278" s="20" t="str"/>
      <c r="D278" s="20" t="str"/>
      <c r="E278" s="20" t="str"/>
      <c r="F278" s="20" t="inlineStr">
        <is>
          <t>PENDING</t>
        </is>
      </c>
      <c r="G278" s="20" t="inlineStr">
        <is>
          <t>PENDING</t>
        </is>
      </c>
      <c r="H278" s="20" t="inlineStr">
        <is>
          <t>PENDING</t>
        </is>
      </c>
      <c r="I278" s="20" t="inlineStr">
        <is>
          <t>PENDING</t>
        </is>
      </c>
      <c r="J278" s="20" t="inlineStr">
        <is>
          <t>PENDING</t>
        </is>
      </c>
      <c r="K278" s="20" t="inlineStr">
        <is>
          <t>待确认</t>
        </is>
      </c>
      <c r="L278" s="20">
        <f>IF(B278="","",IF(OR(F278="FAIL",K278="泄漏"),"DROP",IF(G278="FAIL","RELABEL",IF(OR(H278="FAIL",I278="FAIL",J278="FAIL"),"REWORK",IF(COUNTIF(F278:J278,"PENDING")&gt;0,"PENDING","REUSE")))))</f>
        <v/>
      </c>
      <c r="M278" s="20" t="inlineStr">
        <is>
          <t>PENDING</t>
        </is>
      </c>
      <c r="N278" s="20" t="str"/>
      <c r="O278" s="20" t="str"/>
      <c r="P278" s="20" t="str"/>
      <c r="Q278" s="20" t="inlineStr">
        <is>
          <t>待确认</t>
        </is>
      </c>
      <c r="R278" s="20" t="inlineStr">
        <is>
          <t>未开始</t>
        </is>
      </c>
      <c r="S278">
        <f>IF(B278="","",IF(E278="已暴露","DEV_REG_ONLY","ANY"))</f>
        <v/>
      </c>
    </row>
    <row r="279">
      <c r="A279" s="20" t="n">
        <v>276</v>
      </c>
      <c r="B279" s="20" t="str"/>
      <c r="C279" s="20" t="str"/>
      <c r="D279" s="20" t="str"/>
      <c r="E279" s="20" t="str"/>
      <c r="F279" s="20" t="inlineStr">
        <is>
          <t>PENDING</t>
        </is>
      </c>
      <c r="G279" s="20" t="inlineStr">
        <is>
          <t>PENDING</t>
        </is>
      </c>
      <c r="H279" s="20" t="inlineStr">
        <is>
          <t>PENDING</t>
        </is>
      </c>
      <c r="I279" s="20" t="inlineStr">
        <is>
          <t>PENDING</t>
        </is>
      </c>
      <c r="J279" s="20" t="inlineStr">
        <is>
          <t>PENDING</t>
        </is>
      </c>
      <c r="K279" s="20" t="inlineStr">
        <is>
          <t>待确认</t>
        </is>
      </c>
      <c r="L279" s="20">
        <f>IF(B279="","",IF(OR(F279="FAIL",K279="泄漏"),"DROP",IF(G279="FAIL","RELABEL",IF(OR(H279="FAIL",I279="FAIL",J279="FAIL"),"REWORK",IF(COUNTIF(F279:J279,"PENDING")&gt;0,"PENDING","REUSE")))))</f>
        <v/>
      </c>
      <c r="M279" s="20" t="inlineStr">
        <is>
          <t>PENDING</t>
        </is>
      </c>
      <c r="N279" s="20" t="str"/>
      <c r="O279" s="20" t="str"/>
      <c r="P279" s="20" t="str"/>
      <c r="Q279" s="20" t="inlineStr">
        <is>
          <t>待确认</t>
        </is>
      </c>
      <c r="R279" s="20" t="inlineStr">
        <is>
          <t>未开始</t>
        </is>
      </c>
      <c r="S279">
        <f>IF(B279="","",IF(E279="已暴露","DEV_REG_ONLY","ANY"))</f>
        <v/>
      </c>
    </row>
    <row r="280">
      <c r="A280" s="20" t="n">
        <v>277</v>
      </c>
      <c r="B280" s="20" t="str"/>
      <c r="C280" s="20" t="str"/>
      <c r="D280" s="20" t="str"/>
      <c r="E280" s="20" t="str"/>
      <c r="F280" s="20" t="inlineStr">
        <is>
          <t>PENDING</t>
        </is>
      </c>
      <c r="G280" s="20" t="inlineStr">
        <is>
          <t>PENDING</t>
        </is>
      </c>
      <c r="H280" s="20" t="inlineStr">
        <is>
          <t>PENDING</t>
        </is>
      </c>
      <c r="I280" s="20" t="inlineStr">
        <is>
          <t>PENDING</t>
        </is>
      </c>
      <c r="J280" s="20" t="inlineStr">
        <is>
          <t>PENDING</t>
        </is>
      </c>
      <c r="K280" s="20" t="inlineStr">
        <is>
          <t>待确认</t>
        </is>
      </c>
      <c r="L280" s="20">
        <f>IF(B280="","",IF(OR(F280="FAIL",K280="泄漏"),"DROP",IF(G280="FAIL","RELABEL",IF(OR(H280="FAIL",I280="FAIL",J280="FAIL"),"REWORK",IF(COUNTIF(F280:J280,"PENDING")&gt;0,"PENDING","REUSE")))))</f>
        <v/>
      </c>
      <c r="M280" s="20" t="inlineStr">
        <is>
          <t>PENDING</t>
        </is>
      </c>
      <c r="N280" s="20" t="str"/>
      <c r="O280" s="20" t="str"/>
      <c r="P280" s="20" t="str"/>
      <c r="Q280" s="20" t="inlineStr">
        <is>
          <t>待确认</t>
        </is>
      </c>
      <c r="R280" s="20" t="inlineStr">
        <is>
          <t>未开始</t>
        </is>
      </c>
      <c r="S280">
        <f>IF(B280="","",IF(E280="已暴露","DEV_REG_ONLY","ANY"))</f>
        <v/>
      </c>
    </row>
    <row r="281">
      <c r="A281" s="20" t="n">
        <v>278</v>
      </c>
      <c r="B281" s="20" t="str"/>
      <c r="C281" s="20" t="str"/>
      <c r="D281" s="20" t="str"/>
      <c r="E281" s="20" t="str"/>
      <c r="F281" s="20" t="inlineStr">
        <is>
          <t>PENDING</t>
        </is>
      </c>
      <c r="G281" s="20" t="inlineStr">
        <is>
          <t>PENDING</t>
        </is>
      </c>
      <c r="H281" s="20" t="inlineStr">
        <is>
          <t>PENDING</t>
        </is>
      </c>
      <c r="I281" s="20" t="inlineStr">
        <is>
          <t>PENDING</t>
        </is>
      </c>
      <c r="J281" s="20" t="inlineStr">
        <is>
          <t>PENDING</t>
        </is>
      </c>
      <c r="K281" s="20" t="inlineStr">
        <is>
          <t>待确认</t>
        </is>
      </c>
      <c r="L281" s="20">
        <f>IF(B281="","",IF(OR(F281="FAIL",K281="泄漏"),"DROP",IF(G281="FAIL","RELABEL",IF(OR(H281="FAIL",I281="FAIL",J281="FAIL"),"REWORK",IF(COUNTIF(F281:J281,"PENDING")&gt;0,"PENDING","REUSE")))))</f>
        <v/>
      </c>
      <c r="M281" s="20" t="inlineStr">
        <is>
          <t>PENDING</t>
        </is>
      </c>
      <c r="N281" s="20" t="str"/>
      <c r="O281" s="20" t="str"/>
      <c r="P281" s="20" t="str"/>
      <c r="Q281" s="20" t="inlineStr">
        <is>
          <t>待确认</t>
        </is>
      </c>
      <c r="R281" s="20" t="inlineStr">
        <is>
          <t>未开始</t>
        </is>
      </c>
      <c r="S281">
        <f>IF(B281="","",IF(E281="已暴露","DEV_REG_ONLY","ANY"))</f>
        <v/>
      </c>
    </row>
    <row r="282">
      <c r="A282" s="20" t="n">
        <v>279</v>
      </c>
      <c r="B282" s="20" t="str"/>
      <c r="C282" s="20" t="str"/>
      <c r="D282" s="20" t="str"/>
      <c r="E282" s="20" t="str"/>
      <c r="F282" s="20" t="inlineStr">
        <is>
          <t>PENDING</t>
        </is>
      </c>
      <c r="G282" s="20" t="inlineStr">
        <is>
          <t>PENDING</t>
        </is>
      </c>
      <c r="H282" s="20" t="inlineStr">
        <is>
          <t>PENDING</t>
        </is>
      </c>
      <c r="I282" s="20" t="inlineStr">
        <is>
          <t>PENDING</t>
        </is>
      </c>
      <c r="J282" s="20" t="inlineStr">
        <is>
          <t>PENDING</t>
        </is>
      </c>
      <c r="K282" s="20" t="inlineStr">
        <is>
          <t>待确认</t>
        </is>
      </c>
      <c r="L282" s="20">
        <f>IF(B282="","",IF(OR(F282="FAIL",K282="泄漏"),"DROP",IF(G282="FAIL","RELABEL",IF(OR(H282="FAIL",I282="FAIL",J282="FAIL"),"REWORK",IF(COUNTIF(F282:J282,"PENDING")&gt;0,"PENDING","REUSE")))))</f>
        <v/>
      </c>
      <c r="M282" s="20" t="inlineStr">
        <is>
          <t>PENDING</t>
        </is>
      </c>
      <c r="N282" s="20" t="str"/>
      <c r="O282" s="20" t="str"/>
      <c r="P282" s="20" t="str"/>
      <c r="Q282" s="20" t="inlineStr">
        <is>
          <t>待确认</t>
        </is>
      </c>
      <c r="R282" s="20" t="inlineStr">
        <is>
          <t>未开始</t>
        </is>
      </c>
      <c r="S282">
        <f>IF(B282="","",IF(E282="已暴露","DEV_REG_ONLY","ANY"))</f>
        <v/>
      </c>
    </row>
    <row r="283">
      <c r="A283" s="20" t="n">
        <v>280</v>
      </c>
      <c r="B283" s="20" t="str"/>
      <c r="C283" s="20" t="str"/>
      <c r="D283" s="20" t="str"/>
      <c r="E283" s="20" t="str"/>
      <c r="F283" s="20" t="inlineStr">
        <is>
          <t>PENDING</t>
        </is>
      </c>
      <c r="G283" s="20" t="inlineStr">
        <is>
          <t>PENDING</t>
        </is>
      </c>
      <c r="H283" s="20" t="inlineStr">
        <is>
          <t>PENDING</t>
        </is>
      </c>
      <c r="I283" s="20" t="inlineStr">
        <is>
          <t>PENDING</t>
        </is>
      </c>
      <c r="J283" s="20" t="inlineStr">
        <is>
          <t>PENDING</t>
        </is>
      </c>
      <c r="K283" s="20" t="inlineStr">
        <is>
          <t>待确认</t>
        </is>
      </c>
      <c r="L283" s="20">
        <f>IF(B283="","",IF(OR(F283="FAIL",K283="泄漏"),"DROP",IF(G283="FAIL","RELABEL",IF(OR(H283="FAIL",I283="FAIL",J283="FAIL"),"REWORK",IF(COUNTIF(F283:J283,"PENDING")&gt;0,"PENDING","REUSE")))))</f>
        <v/>
      </c>
      <c r="M283" s="20" t="inlineStr">
        <is>
          <t>PENDING</t>
        </is>
      </c>
      <c r="N283" s="20" t="str"/>
      <c r="O283" s="20" t="str"/>
      <c r="P283" s="20" t="str"/>
      <c r="Q283" s="20" t="inlineStr">
        <is>
          <t>待确认</t>
        </is>
      </c>
      <c r="R283" s="20" t="inlineStr">
        <is>
          <t>未开始</t>
        </is>
      </c>
      <c r="S283">
        <f>IF(B283="","",IF(E283="已暴露","DEV_REG_ONLY","ANY"))</f>
        <v/>
      </c>
    </row>
    <row r="284">
      <c r="A284" s="20" t="n">
        <v>281</v>
      </c>
      <c r="B284" s="20" t="str"/>
      <c r="C284" s="20" t="str"/>
      <c r="D284" s="20" t="str"/>
      <c r="E284" s="20" t="str"/>
      <c r="F284" s="20" t="inlineStr">
        <is>
          <t>PENDING</t>
        </is>
      </c>
      <c r="G284" s="20" t="inlineStr">
        <is>
          <t>PENDING</t>
        </is>
      </c>
      <c r="H284" s="20" t="inlineStr">
        <is>
          <t>PENDING</t>
        </is>
      </c>
      <c r="I284" s="20" t="inlineStr">
        <is>
          <t>PENDING</t>
        </is>
      </c>
      <c r="J284" s="20" t="inlineStr">
        <is>
          <t>PENDING</t>
        </is>
      </c>
      <c r="K284" s="20" t="inlineStr">
        <is>
          <t>待确认</t>
        </is>
      </c>
      <c r="L284" s="20">
        <f>IF(B284="","",IF(OR(F284="FAIL",K284="泄漏"),"DROP",IF(G284="FAIL","RELABEL",IF(OR(H284="FAIL",I284="FAIL",J284="FAIL"),"REWORK",IF(COUNTIF(F284:J284,"PENDING")&gt;0,"PENDING","REUSE")))))</f>
        <v/>
      </c>
      <c r="M284" s="20" t="inlineStr">
        <is>
          <t>PENDING</t>
        </is>
      </c>
      <c r="N284" s="20" t="str"/>
      <c r="O284" s="20" t="str"/>
      <c r="P284" s="20" t="str"/>
      <c r="Q284" s="20" t="inlineStr">
        <is>
          <t>待确认</t>
        </is>
      </c>
      <c r="R284" s="20" t="inlineStr">
        <is>
          <t>未开始</t>
        </is>
      </c>
      <c r="S284">
        <f>IF(B284="","",IF(E284="已暴露","DEV_REG_ONLY","ANY"))</f>
        <v/>
      </c>
    </row>
    <row r="285">
      <c r="A285" s="20" t="n">
        <v>282</v>
      </c>
      <c r="B285" s="20" t="str"/>
      <c r="C285" s="20" t="str"/>
      <c r="D285" s="20" t="str"/>
      <c r="E285" s="20" t="str"/>
      <c r="F285" s="20" t="inlineStr">
        <is>
          <t>PENDING</t>
        </is>
      </c>
      <c r="G285" s="20" t="inlineStr">
        <is>
          <t>PENDING</t>
        </is>
      </c>
      <c r="H285" s="20" t="inlineStr">
        <is>
          <t>PENDING</t>
        </is>
      </c>
      <c r="I285" s="20" t="inlineStr">
        <is>
          <t>PENDING</t>
        </is>
      </c>
      <c r="J285" s="20" t="inlineStr">
        <is>
          <t>PENDING</t>
        </is>
      </c>
      <c r="K285" s="20" t="inlineStr">
        <is>
          <t>待确认</t>
        </is>
      </c>
      <c r="L285" s="20">
        <f>IF(B285="","",IF(OR(F285="FAIL",K285="泄漏"),"DROP",IF(G285="FAIL","RELABEL",IF(OR(H285="FAIL",I285="FAIL",J285="FAIL"),"REWORK",IF(COUNTIF(F285:J285,"PENDING")&gt;0,"PENDING","REUSE")))))</f>
        <v/>
      </c>
      <c r="M285" s="20" t="inlineStr">
        <is>
          <t>PENDING</t>
        </is>
      </c>
      <c r="N285" s="20" t="str"/>
      <c r="O285" s="20" t="str"/>
      <c r="P285" s="20" t="str"/>
      <c r="Q285" s="20" t="inlineStr">
        <is>
          <t>待确认</t>
        </is>
      </c>
      <c r="R285" s="20" t="inlineStr">
        <is>
          <t>未开始</t>
        </is>
      </c>
      <c r="S285">
        <f>IF(B285="","",IF(E285="已暴露","DEV_REG_ONLY","ANY"))</f>
        <v/>
      </c>
    </row>
    <row r="286">
      <c r="A286" s="20" t="n">
        <v>283</v>
      </c>
      <c r="B286" s="20" t="str"/>
      <c r="C286" s="20" t="str"/>
      <c r="D286" s="20" t="str"/>
      <c r="E286" s="20" t="str"/>
      <c r="F286" s="20" t="inlineStr">
        <is>
          <t>PENDING</t>
        </is>
      </c>
      <c r="G286" s="20" t="inlineStr">
        <is>
          <t>PENDING</t>
        </is>
      </c>
      <c r="H286" s="20" t="inlineStr">
        <is>
          <t>PENDING</t>
        </is>
      </c>
      <c r="I286" s="20" t="inlineStr">
        <is>
          <t>PENDING</t>
        </is>
      </c>
      <c r="J286" s="20" t="inlineStr">
        <is>
          <t>PENDING</t>
        </is>
      </c>
      <c r="K286" s="20" t="inlineStr">
        <is>
          <t>待确认</t>
        </is>
      </c>
      <c r="L286" s="20">
        <f>IF(B286="","",IF(OR(F286="FAIL",K286="泄漏"),"DROP",IF(G286="FAIL","RELABEL",IF(OR(H286="FAIL",I286="FAIL",J286="FAIL"),"REWORK",IF(COUNTIF(F286:J286,"PENDING")&gt;0,"PENDING","REUSE")))))</f>
        <v/>
      </c>
      <c r="M286" s="20" t="inlineStr">
        <is>
          <t>PENDING</t>
        </is>
      </c>
      <c r="N286" s="20" t="str"/>
      <c r="O286" s="20" t="str"/>
      <c r="P286" s="20" t="str"/>
      <c r="Q286" s="20" t="inlineStr">
        <is>
          <t>待确认</t>
        </is>
      </c>
      <c r="R286" s="20" t="inlineStr">
        <is>
          <t>未开始</t>
        </is>
      </c>
      <c r="S286">
        <f>IF(B286="","",IF(E286="已暴露","DEV_REG_ONLY","ANY"))</f>
        <v/>
      </c>
    </row>
    <row r="287">
      <c r="A287" s="20" t="n">
        <v>284</v>
      </c>
      <c r="B287" s="20" t="str"/>
      <c r="C287" s="20" t="str"/>
      <c r="D287" s="20" t="str"/>
      <c r="E287" s="20" t="str"/>
      <c r="F287" s="20" t="inlineStr">
        <is>
          <t>PENDING</t>
        </is>
      </c>
      <c r="G287" s="20" t="inlineStr">
        <is>
          <t>PENDING</t>
        </is>
      </c>
      <c r="H287" s="20" t="inlineStr">
        <is>
          <t>PENDING</t>
        </is>
      </c>
      <c r="I287" s="20" t="inlineStr">
        <is>
          <t>PENDING</t>
        </is>
      </c>
      <c r="J287" s="20" t="inlineStr">
        <is>
          <t>PENDING</t>
        </is>
      </c>
      <c r="K287" s="20" t="inlineStr">
        <is>
          <t>待确认</t>
        </is>
      </c>
      <c r="L287" s="20">
        <f>IF(B287="","",IF(OR(F287="FAIL",K287="泄漏"),"DROP",IF(G287="FAIL","RELABEL",IF(OR(H287="FAIL",I287="FAIL",J287="FAIL"),"REWORK",IF(COUNTIF(F287:J287,"PENDING")&gt;0,"PENDING","REUSE")))))</f>
        <v/>
      </c>
      <c r="M287" s="20" t="inlineStr">
        <is>
          <t>PENDING</t>
        </is>
      </c>
      <c r="N287" s="20" t="str"/>
      <c r="O287" s="20" t="str"/>
      <c r="P287" s="20" t="str"/>
      <c r="Q287" s="20" t="inlineStr">
        <is>
          <t>待确认</t>
        </is>
      </c>
      <c r="R287" s="20" t="inlineStr">
        <is>
          <t>未开始</t>
        </is>
      </c>
      <c r="S287">
        <f>IF(B287="","",IF(E287="已暴露","DEV_REG_ONLY","ANY"))</f>
        <v/>
      </c>
    </row>
    <row r="288">
      <c r="A288" s="20" t="n">
        <v>285</v>
      </c>
      <c r="B288" s="20" t="str"/>
      <c r="C288" s="20" t="str"/>
      <c r="D288" s="20" t="str"/>
      <c r="E288" s="20" t="str"/>
      <c r="F288" s="20" t="inlineStr">
        <is>
          <t>PENDING</t>
        </is>
      </c>
      <c r="G288" s="20" t="inlineStr">
        <is>
          <t>PENDING</t>
        </is>
      </c>
      <c r="H288" s="20" t="inlineStr">
        <is>
          <t>PENDING</t>
        </is>
      </c>
      <c r="I288" s="20" t="inlineStr">
        <is>
          <t>PENDING</t>
        </is>
      </c>
      <c r="J288" s="20" t="inlineStr">
        <is>
          <t>PENDING</t>
        </is>
      </c>
      <c r="K288" s="20" t="inlineStr">
        <is>
          <t>待确认</t>
        </is>
      </c>
      <c r="L288" s="20">
        <f>IF(B288="","",IF(OR(F288="FAIL",K288="泄漏"),"DROP",IF(G288="FAIL","RELABEL",IF(OR(H288="FAIL",I288="FAIL",J288="FAIL"),"REWORK",IF(COUNTIF(F288:J288,"PENDING")&gt;0,"PENDING","REUSE")))))</f>
        <v/>
      </c>
      <c r="M288" s="20" t="inlineStr">
        <is>
          <t>PENDING</t>
        </is>
      </c>
      <c r="N288" s="20" t="str"/>
      <c r="O288" s="20" t="str"/>
      <c r="P288" s="20" t="str"/>
      <c r="Q288" s="20" t="inlineStr">
        <is>
          <t>待确认</t>
        </is>
      </c>
      <c r="R288" s="20" t="inlineStr">
        <is>
          <t>未开始</t>
        </is>
      </c>
      <c r="S288">
        <f>IF(B288="","",IF(E288="已暴露","DEV_REG_ONLY","ANY"))</f>
        <v/>
      </c>
    </row>
    <row r="289">
      <c r="A289" s="20" t="n">
        <v>286</v>
      </c>
      <c r="B289" s="20" t="str"/>
      <c r="C289" s="20" t="str"/>
      <c r="D289" s="20" t="str"/>
      <c r="E289" s="20" t="str"/>
      <c r="F289" s="20" t="inlineStr">
        <is>
          <t>PENDING</t>
        </is>
      </c>
      <c r="G289" s="20" t="inlineStr">
        <is>
          <t>PENDING</t>
        </is>
      </c>
      <c r="H289" s="20" t="inlineStr">
        <is>
          <t>PENDING</t>
        </is>
      </c>
      <c r="I289" s="20" t="inlineStr">
        <is>
          <t>PENDING</t>
        </is>
      </c>
      <c r="J289" s="20" t="inlineStr">
        <is>
          <t>PENDING</t>
        </is>
      </c>
      <c r="K289" s="20" t="inlineStr">
        <is>
          <t>待确认</t>
        </is>
      </c>
      <c r="L289" s="20">
        <f>IF(B289="","",IF(OR(F289="FAIL",K289="泄漏"),"DROP",IF(G289="FAIL","RELABEL",IF(OR(H289="FAIL",I289="FAIL",J289="FAIL"),"REWORK",IF(COUNTIF(F289:J289,"PENDING")&gt;0,"PENDING","REUSE")))))</f>
        <v/>
      </c>
      <c r="M289" s="20" t="inlineStr">
        <is>
          <t>PENDING</t>
        </is>
      </c>
      <c r="N289" s="20" t="str"/>
      <c r="O289" s="20" t="str"/>
      <c r="P289" s="20" t="str"/>
      <c r="Q289" s="20" t="inlineStr">
        <is>
          <t>待确认</t>
        </is>
      </c>
      <c r="R289" s="20" t="inlineStr">
        <is>
          <t>未开始</t>
        </is>
      </c>
      <c r="S289">
        <f>IF(B289="","",IF(E289="已暴露","DEV_REG_ONLY","ANY"))</f>
        <v/>
      </c>
    </row>
    <row r="290">
      <c r="A290" s="20" t="n">
        <v>287</v>
      </c>
      <c r="B290" s="20" t="str"/>
      <c r="C290" s="20" t="str"/>
      <c r="D290" s="20" t="str"/>
      <c r="E290" s="20" t="str"/>
      <c r="F290" s="20" t="inlineStr">
        <is>
          <t>PENDING</t>
        </is>
      </c>
      <c r="G290" s="20" t="inlineStr">
        <is>
          <t>PENDING</t>
        </is>
      </c>
      <c r="H290" s="20" t="inlineStr">
        <is>
          <t>PENDING</t>
        </is>
      </c>
      <c r="I290" s="20" t="inlineStr">
        <is>
          <t>PENDING</t>
        </is>
      </c>
      <c r="J290" s="20" t="inlineStr">
        <is>
          <t>PENDING</t>
        </is>
      </c>
      <c r="K290" s="20" t="inlineStr">
        <is>
          <t>待确认</t>
        </is>
      </c>
      <c r="L290" s="20">
        <f>IF(B290="","",IF(OR(F290="FAIL",K290="泄漏"),"DROP",IF(G290="FAIL","RELABEL",IF(OR(H290="FAIL",I290="FAIL",J290="FAIL"),"REWORK",IF(COUNTIF(F290:J290,"PENDING")&gt;0,"PENDING","REUSE")))))</f>
        <v/>
      </c>
      <c r="M290" s="20" t="inlineStr">
        <is>
          <t>PENDING</t>
        </is>
      </c>
      <c r="N290" s="20" t="str"/>
      <c r="O290" s="20" t="str"/>
      <c r="P290" s="20" t="str"/>
      <c r="Q290" s="20" t="inlineStr">
        <is>
          <t>待确认</t>
        </is>
      </c>
      <c r="R290" s="20" t="inlineStr">
        <is>
          <t>未开始</t>
        </is>
      </c>
      <c r="S290">
        <f>IF(B290="","",IF(E290="已暴露","DEV_REG_ONLY","ANY"))</f>
        <v/>
      </c>
    </row>
    <row r="291">
      <c r="A291" s="20" t="n">
        <v>288</v>
      </c>
      <c r="B291" s="20" t="str"/>
      <c r="C291" s="20" t="str"/>
      <c r="D291" s="20" t="str"/>
      <c r="E291" s="20" t="str"/>
      <c r="F291" s="20" t="inlineStr">
        <is>
          <t>PENDING</t>
        </is>
      </c>
      <c r="G291" s="20" t="inlineStr">
        <is>
          <t>PENDING</t>
        </is>
      </c>
      <c r="H291" s="20" t="inlineStr">
        <is>
          <t>PENDING</t>
        </is>
      </c>
      <c r="I291" s="20" t="inlineStr">
        <is>
          <t>PENDING</t>
        </is>
      </c>
      <c r="J291" s="20" t="inlineStr">
        <is>
          <t>PENDING</t>
        </is>
      </c>
      <c r="K291" s="20" t="inlineStr">
        <is>
          <t>待确认</t>
        </is>
      </c>
      <c r="L291" s="20">
        <f>IF(B291="","",IF(OR(F291="FAIL",K291="泄漏"),"DROP",IF(G291="FAIL","RELABEL",IF(OR(H291="FAIL",I291="FAIL",J291="FAIL"),"REWORK",IF(COUNTIF(F291:J291,"PENDING")&gt;0,"PENDING","REUSE")))))</f>
        <v/>
      </c>
      <c r="M291" s="20" t="inlineStr">
        <is>
          <t>PENDING</t>
        </is>
      </c>
      <c r="N291" s="20" t="str"/>
      <c r="O291" s="20" t="str"/>
      <c r="P291" s="20" t="str"/>
      <c r="Q291" s="20" t="inlineStr">
        <is>
          <t>待确认</t>
        </is>
      </c>
      <c r="R291" s="20" t="inlineStr">
        <is>
          <t>未开始</t>
        </is>
      </c>
      <c r="S291">
        <f>IF(B291="","",IF(E291="已暴露","DEV_REG_ONLY","ANY"))</f>
        <v/>
      </c>
    </row>
    <row r="292">
      <c r="A292" s="20" t="n">
        <v>289</v>
      </c>
      <c r="B292" s="20" t="str"/>
      <c r="C292" s="20" t="str"/>
      <c r="D292" s="20" t="str"/>
      <c r="E292" s="20" t="str"/>
      <c r="F292" s="20" t="inlineStr">
        <is>
          <t>PENDING</t>
        </is>
      </c>
      <c r="G292" s="20" t="inlineStr">
        <is>
          <t>PENDING</t>
        </is>
      </c>
      <c r="H292" s="20" t="inlineStr">
        <is>
          <t>PENDING</t>
        </is>
      </c>
      <c r="I292" s="20" t="inlineStr">
        <is>
          <t>PENDING</t>
        </is>
      </c>
      <c r="J292" s="20" t="inlineStr">
        <is>
          <t>PENDING</t>
        </is>
      </c>
      <c r="K292" s="20" t="inlineStr">
        <is>
          <t>待确认</t>
        </is>
      </c>
      <c r="L292" s="20">
        <f>IF(B292="","",IF(OR(F292="FAIL",K292="泄漏"),"DROP",IF(G292="FAIL","RELABEL",IF(OR(H292="FAIL",I292="FAIL",J292="FAIL"),"REWORK",IF(COUNTIF(F292:J292,"PENDING")&gt;0,"PENDING","REUSE")))))</f>
        <v/>
      </c>
      <c r="M292" s="20" t="inlineStr">
        <is>
          <t>PENDING</t>
        </is>
      </c>
      <c r="N292" s="20" t="str"/>
      <c r="O292" s="20" t="str"/>
      <c r="P292" s="20" t="str"/>
      <c r="Q292" s="20" t="inlineStr">
        <is>
          <t>待确认</t>
        </is>
      </c>
      <c r="R292" s="20" t="inlineStr">
        <is>
          <t>未开始</t>
        </is>
      </c>
      <c r="S292">
        <f>IF(B292="","",IF(E292="已暴露","DEV_REG_ONLY","ANY"))</f>
        <v/>
      </c>
    </row>
    <row r="293">
      <c r="A293" s="20" t="n">
        <v>290</v>
      </c>
      <c r="B293" s="20" t="str"/>
      <c r="C293" s="20" t="str"/>
      <c r="D293" s="20" t="str"/>
      <c r="E293" s="20" t="str"/>
      <c r="F293" s="20" t="inlineStr">
        <is>
          <t>PENDING</t>
        </is>
      </c>
      <c r="G293" s="20" t="inlineStr">
        <is>
          <t>PENDING</t>
        </is>
      </c>
      <c r="H293" s="20" t="inlineStr">
        <is>
          <t>PENDING</t>
        </is>
      </c>
      <c r="I293" s="20" t="inlineStr">
        <is>
          <t>PENDING</t>
        </is>
      </c>
      <c r="J293" s="20" t="inlineStr">
        <is>
          <t>PENDING</t>
        </is>
      </c>
      <c r="K293" s="20" t="inlineStr">
        <is>
          <t>待确认</t>
        </is>
      </c>
      <c r="L293" s="20">
        <f>IF(B293="","",IF(OR(F293="FAIL",K293="泄漏"),"DROP",IF(G293="FAIL","RELABEL",IF(OR(H293="FAIL",I293="FAIL",J293="FAIL"),"REWORK",IF(COUNTIF(F293:J293,"PENDING")&gt;0,"PENDING","REUSE")))))</f>
        <v/>
      </c>
      <c r="M293" s="20" t="inlineStr">
        <is>
          <t>PENDING</t>
        </is>
      </c>
      <c r="N293" s="20" t="str"/>
      <c r="O293" s="20" t="str"/>
      <c r="P293" s="20" t="str"/>
      <c r="Q293" s="20" t="inlineStr">
        <is>
          <t>待确认</t>
        </is>
      </c>
      <c r="R293" s="20" t="inlineStr">
        <is>
          <t>未开始</t>
        </is>
      </c>
      <c r="S293">
        <f>IF(B293="","",IF(E293="已暴露","DEV_REG_ONLY","ANY"))</f>
        <v/>
      </c>
    </row>
    <row r="294">
      <c r="A294" s="20" t="n">
        <v>291</v>
      </c>
      <c r="B294" s="20" t="str"/>
      <c r="C294" s="20" t="str"/>
      <c r="D294" s="20" t="str"/>
      <c r="E294" s="20" t="str"/>
      <c r="F294" s="20" t="inlineStr">
        <is>
          <t>PENDING</t>
        </is>
      </c>
      <c r="G294" s="20" t="inlineStr">
        <is>
          <t>PENDING</t>
        </is>
      </c>
      <c r="H294" s="20" t="inlineStr">
        <is>
          <t>PENDING</t>
        </is>
      </c>
      <c r="I294" s="20" t="inlineStr">
        <is>
          <t>PENDING</t>
        </is>
      </c>
      <c r="J294" s="20" t="inlineStr">
        <is>
          <t>PENDING</t>
        </is>
      </c>
      <c r="K294" s="20" t="inlineStr">
        <is>
          <t>待确认</t>
        </is>
      </c>
      <c r="L294" s="20">
        <f>IF(B294="","",IF(OR(F294="FAIL",K294="泄漏"),"DROP",IF(G294="FAIL","RELABEL",IF(OR(H294="FAIL",I294="FAIL",J294="FAIL"),"REWORK",IF(COUNTIF(F294:J294,"PENDING")&gt;0,"PENDING","REUSE")))))</f>
        <v/>
      </c>
      <c r="M294" s="20" t="inlineStr">
        <is>
          <t>PENDING</t>
        </is>
      </c>
      <c r="N294" s="20" t="str"/>
      <c r="O294" s="20" t="str"/>
      <c r="P294" s="20" t="str"/>
      <c r="Q294" s="20" t="inlineStr">
        <is>
          <t>待确认</t>
        </is>
      </c>
      <c r="R294" s="20" t="inlineStr">
        <is>
          <t>未开始</t>
        </is>
      </c>
      <c r="S294">
        <f>IF(B294="","",IF(E294="已暴露","DEV_REG_ONLY","ANY"))</f>
        <v/>
      </c>
    </row>
    <row r="295">
      <c r="A295" s="20" t="n">
        <v>292</v>
      </c>
      <c r="B295" s="20" t="str"/>
      <c r="C295" s="20" t="str"/>
      <c r="D295" s="20" t="str"/>
      <c r="E295" s="20" t="str"/>
      <c r="F295" s="20" t="inlineStr">
        <is>
          <t>PENDING</t>
        </is>
      </c>
      <c r="G295" s="20" t="inlineStr">
        <is>
          <t>PENDING</t>
        </is>
      </c>
      <c r="H295" s="20" t="inlineStr">
        <is>
          <t>PENDING</t>
        </is>
      </c>
      <c r="I295" s="20" t="inlineStr">
        <is>
          <t>PENDING</t>
        </is>
      </c>
      <c r="J295" s="20" t="inlineStr">
        <is>
          <t>PENDING</t>
        </is>
      </c>
      <c r="K295" s="20" t="inlineStr">
        <is>
          <t>待确认</t>
        </is>
      </c>
      <c r="L295" s="20">
        <f>IF(B295="","",IF(OR(F295="FAIL",K295="泄漏"),"DROP",IF(G295="FAIL","RELABEL",IF(OR(H295="FAIL",I295="FAIL",J295="FAIL"),"REWORK",IF(COUNTIF(F295:J295,"PENDING")&gt;0,"PENDING","REUSE")))))</f>
        <v/>
      </c>
      <c r="M295" s="20" t="inlineStr">
        <is>
          <t>PENDING</t>
        </is>
      </c>
      <c r="N295" s="20" t="str"/>
      <c r="O295" s="20" t="str"/>
      <c r="P295" s="20" t="str"/>
      <c r="Q295" s="20" t="inlineStr">
        <is>
          <t>待确认</t>
        </is>
      </c>
      <c r="R295" s="20" t="inlineStr">
        <is>
          <t>未开始</t>
        </is>
      </c>
      <c r="S295">
        <f>IF(B295="","",IF(E295="已暴露","DEV_REG_ONLY","ANY"))</f>
        <v/>
      </c>
    </row>
    <row r="296">
      <c r="A296" s="20" t="n">
        <v>293</v>
      </c>
      <c r="B296" s="20" t="str"/>
      <c r="C296" s="20" t="str"/>
      <c r="D296" s="20" t="str"/>
      <c r="E296" s="20" t="str"/>
      <c r="F296" s="20" t="inlineStr">
        <is>
          <t>PENDING</t>
        </is>
      </c>
      <c r="G296" s="20" t="inlineStr">
        <is>
          <t>PENDING</t>
        </is>
      </c>
      <c r="H296" s="20" t="inlineStr">
        <is>
          <t>PENDING</t>
        </is>
      </c>
      <c r="I296" s="20" t="inlineStr">
        <is>
          <t>PENDING</t>
        </is>
      </c>
      <c r="J296" s="20" t="inlineStr">
        <is>
          <t>PENDING</t>
        </is>
      </c>
      <c r="K296" s="20" t="inlineStr">
        <is>
          <t>待确认</t>
        </is>
      </c>
      <c r="L296" s="20">
        <f>IF(B296="","",IF(OR(F296="FAIL",K296="泄漏"),"DROP",IF(G296="FAIL","RELABEL",IF(OR(H296="FAIL",I296="FAIL",J296="FAIL"),"REWORK",IF(COUNTIF(F296:J296,"PENDING")&gt;0,"PENDING","REUSE")))))</f>
        <v/>
      </c>
      <c r="M296" s="20" t="inlineStr">
        <is>
          <t>PENDING</t>
        </is>
      </c>
      <c r="N296" s="20" t="str"/>
      <c r="O296" s="20" t="str"/>
      <c r="P296" s="20" t="str"/>
      <c r="Q296" s="20" t="inlineStr">
        <is>
          <t>待确认</t>
        </is>
      </c>
      <c r="R296" s="20" t="inlineStr">
        <is>
          <t>未开始</t>
        </is>
      </c>
      <c r="S296">
        <f>IF(B296="","",IF(E296="已暴露","DEV_REG_ONLY","ANY"))</f>
        <v/>
      </c>
    </row>
    <row r="297">
      <c r="A297" s="20" t="n">
        <v>294</v>
      </c>
      <c r="B297" s="20" t="str"/>
      <c r="C297" s="20" t="str"/>
      <c r="D297" s="20" t="str"/>
      <c r="E297" s="20" t="str"/>
      <c r="F297" s="20" t="inlineStr">
        <is>
          <t>PENDING</t>
        </is>
      </c>
      <c r="G297" s="20" t="inlineStr">
        <is>
          <t>PENDING</t>
        </is>
      </c>
      <c r="H297" s="20" t="inlineStr">
        <is>
          <t>PENDING</t>
        </is>
      </c>
      <c r="I297" s="20" t="inlineStr">
        <is>
          <t>PENDING</t>
        </is>
      </c>
      <c r="J297" s="20" t="inlineStr">
        <is>
          <t>PENDING</t>
        </is>
      </c>
      <c r="K297" s="20" t="inlineStr">
        <is>
          <t>待确认</t>
        </is>
      </c>
      <c r="L297" s="20">
        <f>IF(B297="","",IF(OR(F297="FAIL",K297="泄漏"),"DROP",IF(G297="FAIL","RELABEL",IF(OR(H297="FAIL",I297="FAIL",J297="FAIL"),"REWORK",IF(COUNTIF(F297:J297,"PENDING")&gt;0,"PENDING","REUSE")))))</f>
        <v/>
      </c>
      <c r="M297" s="20" t="inlineStr">
        <is>
          <t>PENDING</t>
        </is>
      </c>
      <c r="N297" s="20" t="str"/>
      <c r="O297" s="20" t="str"/>
      <c r="P297" s="20" t="str"/>
      <c r="Q297" s="20" t="inlineStr">
        <is>
          <t>待确认</t>
        </is>
      </c>
      <c r="R297" s="20" t="inlineStr">
        <is>
          <t>未开始</t>
        </is>
      </c>
      <c r="S297">
        <f>IF(B297="","",IF(E297="已暴露","DEV_REG_ONLY","ANY"))</f>
        <v/>
      </c>
    </row>
    <row r="298">
      <c r="A298" s="20" t="n">
        <v>295</v>
      </c>
      <c r="B298" s="20" t="str"/>
      <c r="C298" s="20" t="str"/>
      <c r="D298" s="20" t="str"/>
      <c r="E298" s="20" t="str"/>
      <c r="F298" s="20" t="inlineStr">
        <is>
          <t>PENDING</t>
        </is>
      </c>
      <c r="G298" s="20" t="inlineStr">
        <is>
          <t>PENDING</t>
        </is>
      </c>
      <c r="H298" s="20" t="inlineStr">
        <is>
          <t>PENDING</t>
        </is>
      </c>
      <c r="I298" s="20" t="inlineStr">
        <is>
          <t>PENDING</t>
        </is>
      </c>
      <c r="J298" s="20" t="inlineStr">
        <is>
          <t>PENDING</t>
        </is>
      </c>
      <c r="K298" s="20" t="inlineStr">
        <is>
          <t>待确认</t>
        </is>
      </c>
      <c r="L298" s="20">
        <f>IF(B298="","",IF(OR(F298="FAIL",K298="泄漏"),"DROP",IF(G298="FAIL","RELABEL",IF(OR(H298="FAIL",I298="FAIL",J298="FAIL"),"REWORK",IF(COUNTIF(F298:J298,"PENDING")&gt;0,"PENDING","REUSE")))))</f>
        <v/>
      </c>
      <c r="M298" s="20" t="inlineStr">
        <is>
          <t>PENDING</t>
        </is>
      </c>
      <c r="N298" s="20" t="str"/>
      <c r="O298" s="20" t="str"/>
      <c r="P298" s="20" t="str"/>
      <c r="Q298" s="20" t="inlineStr">
        <is>
          <t>待确认</t>
        </is>
      </c>
      <c r="R298" s="20" t="inlineStr">
        <is>
          <t>未开始</t>
        </is>
      </c>
      <c r="S298">
        <f>IF(B298="","",IF(E298="已暴露","DEV_REG_ONLY","ANY"))</f>
        <v/>
      </c>
    </row>
    <row r="299">
      <c r="A299" s="20" t="n">
        <v>296</v>
      </c>
      <c r="B299" s="20" t="str"/>
      <c r="C299" s="20" t="str"/>
      <c r="D299" s="20" t="str"/>
      <c r="E299" s="20" t="str"/>
      <c r="F299" s="20" t="inlineStr">
        <is>
          <t>PENDING</t>
        </is>
      </c>
      <c r="G299" s="20" t="inlineStr">
        <is>
          <t>PENDING</t>
        </is>
      </c>
      <c r="H299" s="20" t="inlineStr">
        <is>
          <t>PENDING</t>
        </is>
      </c>
      <c r="I299" s="20" t="inlineStr">
        <is>
          <t>PENDING</t>
        </is>
      </c>
      <c r="J299" s="20" t="inlineStr">
        <is>
          <t>PENDING</t>
        </is>
      </c>
      <c r="K299" s="20" t="inlineStr">
        <is>
          <t>待确认</t>
        </is>
      </c>
      <c r="L299" s="20">
        <f>IF(B299="","",IF(OR(F299="FAIL",K299="泄漏"),"DROP",IF(G299="FAIL","RELABEL",IF(OR(H299="FAIL",I299="FAIL",J299="FAIL"),"REWORK",IF(COUNTIF(F299:J299,"PENDING")&gt;0,"PENDING","REUSE")))))</f>
        <v/>
      </c>
      <c r="M299" s="20" t="inlineStr">
        <is>
          <t>PENDING</t>
        </is>
      </c>
      <c r="N299" s="20" t="str"/>
      <c r="O299" s="20" t="str"/>
      <c r="P299" s="20" t="str"/>
      <c r="Q299" s="20" t="inlineStr">
        <is>
          <t>待确认</t>
        </is>
      </c>
      <c r="R299" s="20" t="inlineStr">
        <is>
          <t>未开始</t>
        </is>
      </c>
      <c r="S299">
        <f>IF(B299="","",IF(E299="已暴露","DEV_REG_ONLY","ANY"))</f>
        <v/>
      </c>
    </row>
    <row r="300">
      <c r="A300" s="20" t="n">
        <v>297</v>
      </c>
      <c r="B300" s="20" t="str"/>
      <c r="C300" s="20" t="str"/>
      <c r="D300" s="20" t="str"/>
      <c r="E300" s="20" t="str"/>
      <c r="F300" s="20" t="inlineStr">
        <is>
          <t>PENDING</t>
        </is>
      </c>
      <c r="G300" s="20" t="inlineStr">
        <is>
          <t>PENDING</t>
        </is>
      </c>
      <c r="H300" s="20" t="inlineStr">
        <is>
          <t>PENDING</t>
        </is>
      </c>
      <c r="I300" s="20" t="inlineStr">
        <is>
          <t>PENDING</t>
        </is>
      </c>
      <c r="J300" s="20" t="inlineStr">
        <is>
          <t>PENDING</t>
        </is>
      </c>
      <c r="K300" s="20" t="inlineStr">
        <is>
          <t>待确认</t>
        </is>
      </c>
      <c r="L300" s="20">
        <f>IF(B300="","",IF(OR(F300="FAIL",K300="泄漏"),"DROP",IF(G300="FAIL","RELABEL",IF(OR(H300="FAIL",I300="FAIL",J300="FAIL"),"REWORK",IF(COUNTIF(F300:J300,"PENDING")&gt;0,"PENDING","REUSE")))))</f>
        <v/>
      </c>
      <c r="M300" s="20" t="inlineStr">
        <is>
          <t>PENDING</t>
        </is>
      </c>
      <c r="N300" s="20" t="str"/>
      <c r="O300" s="20" t="str"/>
      <c r="P300" s="20" t="str"/>
      <c r="Q300" s="20" t="inlineStr">
        <is>
          <t>待确认</t>
        </is>
      </c>
      <c r="R300" s="20" t="inlineStr">
        <is>
          <t>未开始</t>
        </is>
      </c>
      <c r="S300">
        <f>IF(B300="","",IF(E300="已暴露","DEV_REG_ONLY","ANY"))</f>
        <v/>
      </c>
    </row>
    <row r="301">
      <c r="A301" s="20" t="n">
        <v>298</v>
      </c>
      <c r="B301" s="20" t="str"/>
      <c r="C301" s="20" t="str"/>
      <c r="D301" s="20" t="str"/>
      <c r="E301" s="20" t="str"/>
      <c r="F301" s="20" t="inlineStr">
        <is>
          <t>PENDING</t>
        </is>
      </c>
      <c r="G301" s="20" t="inlineStr">
        <is>
          <t>PENDING</t>
        </is>
      </c>
      <c r="H301" s="20" t="inlineStr">
        <is>
          <t>PENDING</t>
        </is>
      </c>
      <c r="I301" s="20" t="inlineStr">
        <is>
          <t>PENDING</t>
        </is>
      </c>
      <c r="J301" s="20" t="inlineStr">
        <is>
          <t>PENDING</t>
        </is>
      </c>
      <c r="K301" s="20" t="inlineStr">
        <is>
          <t>待确认</t>
        </is>
      </c>
      <c r="L301" s="20">
        <f>IF(B301="","",IF(OR(F301="FAIL",K301="泄漏"),"DROP",IF(G301="FAIL","RELABEL",IF(OR(H301="FAIL",I301="FAIL",J301="FAIL"),"REWORK",IF(COUNTIF(F301:J301,"PENDING")&gt;0,"PENDING","REUSE")))))</f>
        <v/>
      </c>
      <c r="M301" s="20" t="inlineStr">
        <is>
          <t>PENDING</t>
        </is>
      </c>
      <c r="N301" s="20" t="str"/>
      <c r="O301" s="20" t="str"/>
      <c r="P301" s="20" t="str"/>
      <c r="Q301" s="20" t="inlineStr">
        <is>
          <t>待确认</t>
        </is>
      </c>
      <c r="R301" s="20" t="inlineStr">
        <is>
          <t>未开始</t>
        </is>
      </c>
      <c r="S301">
        <f>IF(B301="","",IF(E301="已暴露","DEV_REG_ONLY","ANY"))</f>
        <v/>
      </c>
    </row>
    <row r="302">
      <c r="A302" s="20" t="n">
        <v>299</v>
      </c>
      <c r="B302" s="20" t="str"/>
      <c r="C302" s="20" t="str"/>
      <c r="D302" s="20" t="str"/>
      <c r="E302" s="20" t="str"/>
      <c r="F302" s="20" t="inlineStr">
        <is>
          <t>PENDING</t>
        </is>
      </c>
      <c r="G302" s="20" t="inlineStr">
        <is>
          <t>PENDING</t>
        </is>
      </c>
      <c r="H302" s="20" t="inlineStr">
        <is>
          <t>PENDING</t>
        </is>
      </c>
      <c r="I302" s="20" t="inlineStr">
        <is>
          <t>PENDING</t>
        </is>
      </c>
      <c r="J302" s="20" t="inlineStr">
        <is>
          <t>PENDING</t>
        </is>
      </c>
      <c r="K302" s="20" t="inlineStr">
        <is>
          <t>待确认</t>
        </is>
      </c>
      <c r="L302" s="20">
        <f>IF(B302="","",IF(OR(F302="FAIL",K302="泄漏"),"DROP",IF(G302="FAIL","RELABEL",IF(OR(H302="FAIL",I302="FAIL",J302="FAIL"),"REWORK",IF(COUNTIF(F302:J302,"PENDING")&gt;0,"PENDING","REUSE")))))</f>
        <v/>
      </c>
      <c r="M302" s="20" t="inlineStr">
        <is>
          <t>PENDING</t>
        </is>
      </c>
      <c r="N302" s="20" t="str"/>
      <c r="O302" s="20" t="str"/>
      <c r="P302" s="20" t="str"/>
      <c r="Q302" s="20" t="inlineStr">
        <is>
          <t>待确认</t>
        </is>
      </c>
      <c r="R302" s="20" t="inlineStr">
        <is>
          <t>未开始</t>
        </is>
      </c>
      <c r="S302">
        <f>IF(B302="","",IF(E302="已暴露","DEV_REG_ONLY","ANY"))</f>
        <v/>
      </c>
    </row>
    <row r="303">
      <c r="A303" s="20" t="n">
        <v>300</v>
      </c>
      <c r="B303" s="20" t="str"/>
      <c r="C303" s="20" t="str"/>
      <c r="D303" s="20" t="str"/>
      <c r="E303" s="20" t="str"/>
      <c r="F303" s="20" t="inlineStr">
        <is>
          <t>PENDING</t>
        </is>
      </c>
      <c r="G303" s="20" t="inlineStr">
        <is>
          <t>PENDING</t>
        </is>
      </c>
      <c r="H303" s="20" t="inlineStr">
        <is>
          <t>PENDING</t>
        </is>
      </c>
      <c r="I303" s="20" t="inlineStr">
        <is>
          <t>PENDING</t>
        </is>
      </c>
      <c r="J303" s="20" t="inlineStr">
        <is>
          <t>PENDING</t>
        </is>
      </c>
      <c r="K303" s="20" t="inlineStr">
        <is>
          <t>待确认</t>
        </is>
      </c>
      <c r="L303" s="20">
        <f>IF(B303="","",IF(OR(F303="FAIL",K303="泄漏"),"DROP",IF(G303="FAIL","RELABEL",IF(OR(H303="FAIL",I303="FAIL",J303="FAIL"),"REWORK",IF(COUNTIF(F303:J303,"PENDING")&gt;0,"PENDING","REUSE")))))</f>
        <v/>
      </c>
      <c r="M303" s="20" t="inlineStr">
        <is>
          <t>PENDING</t>
        </is>
      </c>
      <c r="N303" s="20" t="str"/>
      <c r="O303" s="20" t="str"/>
      <c r="P303" s="20" t="str"/>
      <c r="Q303" s="20" t="inlineStr">
        <is>
          <t>待确认</t>
        </is>
      </c>
      <c r="R303" s="20" t="inlineStr">
        <is>
          <t>未开始</t>
        </is>
      </c>
      <c r="S303">
        <f>IF(B303="","",IF(E303="已暴露","DEV_REG_ONLY","ANY"))</f>
        <v/>
      </c>
    </row>
    <row r="304">
      <c r="A304" s="20" t="n">
        <v>301</v>
      </c>
      <c r="B304" s="20" t="str"/>
      <c r="C304" s="20" t="str"/>
      <c r="D304" s="20" t="str"/>
      <c r="E304" s="20" t="str"/>
      <c r="F304" s="20" t="inlineStr">
        <is>
          <t>PENDING</t>
        </is>
      </c>
      <c r="G304" s="20" t="inlineStr">
        <is>
          <t>PENDING</t>
        </is>
      </c>
      <c r="H304" s="20" t="inlineStr">
        <is>
          <t>PENDING</t>
        </is>
      </c>
      <c r="I304" s="20" t="inlineStr">
        <is>
          <t>PENDING</t>
        </is>
      </c>
      <c r="J304" s="20" t="inlineStr">
        <is>
          <t>PENDING</t>
        </is>
      </c>
      <c r="K304" s="20" t="inlineStr">
        <is>
          <t>待确认</t>
        </is>
      </c>
      <c r="L304" s="20">
        <f>IF(B304="","",IF(OR(F304="FAIL",K304="泄漏"),"DROP",IF(G304="FAIL","RELABEL",IF(OR(H304="FAIL",I304="FAIL",J304="FAIL"),"REWORK",IF(COUNTIF(F304:J304,"PENDING")&gt;0,"PENDING","REUSE")))))</f>
        <v/>
      </c>
      <c r="M304" s="20" t="inlineStr">
        <is>
          <t>PENDING</t>
        </is>
      </c>
      <c r="N304" s="20" t="str"/>
      <c r="O304" s="20" t="str"/>
      <c r="P304" s="20" t="str"/>
      <c r="Q304" s="20" t="inlineStr">
        <is>
          <t>待确认</t>
        </is>
      </c>
      <c r="R304" s="20" t="inlineStr">
        <is>
          <t>未开始</t>
        </is>
      </c>
      <c r="S304">
        <f>IF(B304="","",IF(E304="已暴露","DEV_REG_ONLY","ANY"))</f>
        <v/>
      </c>
    </row>
    <row r="305">
      <c r="A305" s="20" t="n">
        <v>302</v>
      </c>
      <c r="B305" s="20" t="str"/>
      <c r="C305" s="20" t="str"/>
      <c r="D305" s="20" t="str"/>
      <c r="E305" s="20" t="str"/>
      <c r="F305" s="20" t="inlineStr">
        <is>
          <t>PENDING</t>
        </is>
      </c>
      <c r="G305" s="20" t="inlineStr">
        <is>
          <t>PENDING</t>
        </is>
      </c>
      <c r="H305" s="20" t="inlineStr">
        <is>
          <t>PENDING</t>
        </is>
      </c>
      <c r="I305" s="20" t="inlineStr">
        <is>
          <t>PENDING</t>
        </is>
      </c>
      <c r="J305" s="20" t="inlineStr">
        <is>
          <t>PENDING</t>
        </is>
      </c>
      <c r="K305" s="20" t="inlineStr">
        <is>
          <t>待确认</t>
        </is>
      </c>
      <c r="L305" s="20">
        <f>IF(B305="","",IF(OR(F305="FAIL",K305="泄漏"),"DROP",IF(G305="FAIL","RELABEL",IF(OR(H305="FAIL",I305="FAIL",J305="FAIL"),"REWORK",IF(COUNTIF(F305:J305,"PENDING")&gt;0,"PENDING","REUSE")))))</f>
        <v/>
      </c>
      <c r="M305" s="20" t="inlineStr">
        <is>
          <t>PENDING</t>
        </is>
      </c>
      <c r="N305" s="20" t="str"/>
      <c r="O305" s="20" t="str"/>
      <c r="P305" s="20" t="str"/>
      <c r="Q305" s="20" t="inlineStr">
        <is>
          <t>待确认</t>
        </is>
      </c>
      <c r="R305" s="20" t="inlineStr">
        <is>
          <t>未开始</t>
        </is>
      </c>
      <c r="S305">
        <f>IF(B305="","",IF(E305="已暴露","DEV_REG_ONLY","ANY"))</f>
        <v/>
      </c>
    </row>
    <row r="306">
      <c r="A306" s="20" t="n">
        <v>303</v>
      </c>
      <c r="B306" s="20" t="str"/>
      <c r="C306" s="20" t="str"/>
      <c r="D306" s="20" t="str"/>
      <c r="E306" s="20" t="str"/>
      <c r="F306" s="20" t="inlineStr">
        <is>
          <t>PENDING</t>
        </is>
      </c>
      <c r="G306" s="20" t="inlineStr">
        <is>
          <t>PENDING</t>
        </is>
      </c>
      <c r="H306" s="20" t="inlineStr">
        <is>
          <t>PENDING</t>
        </is>
      </c>
      <c r="I306" s="20" t="inlineStr">
        <is>
          <t>PENDING</t>
        </is>
      </c>
      <c r="J306" s="20" t="inlineStr">
        <is>
          <t>PENDING</t>
        </is>
      </c>
      <c r="K306" s="20" t="inlineStr">
        <is>
          <t>待确认</t>
        </is>
      </c>
      <c r="L306" s="20">
        <f>IF(B306="","",IF(OR(F306="FAIL",K306="泄漏"),"DROP",IF(G306="FAIL","RELABEL",IF(OR(H306="FAIL",I306="FAIL",J306="FAIL"),"REWORK",IF(COUNTIF(F306:J306,"PENDING")&gt;0,"PENDING","REUSE")))))</f>
        <v/>
      </c>
      <c r="M306" s="20" t="inlineStr">
        <is>
          <t>PENDING</t>
        </is>
      </c>
      <c r="N306" s="20" t="str"/>
      <c r="O306" s="20" t="str"/>
      <c r="P306" s="20" t="str"/>
      <c r="Q306" s="20" t="inlineStr">
        <is>
          <t>待确认</t>
        </is>
      </c>
      <c r="R306" s="20" t="inlineStr">
        <is>
          <t>未开始</t>
        </is>
      </c>
      <c r="S306">
        <f>IF(B306="","",IF(E306="已暴露","DEV_REG_ONLY","ANY"))</f>
        <v/>
      </c>
    </row>
    <row r="307">
      <c r="A307" s="20" t="n">
        <v>304</v>
      </c>
      <c r="B307" s="20" t="str"/>
      <c r="C307" s="20" t="str"/>
      <c r="D307" s="20" t="str"/>
      <c r="E307" s="20" t="str"/>
      <c r="F307" s="20" t="inlineStr">
        <is>
          <t>PENDING</t>
        </is>
      </c>
      <c r="G307" s="20" t="inlineStr">
        <is>
          <t>PENDING</t>
        </is>
      </c>
      <c r="H307" s="20" t="inlineStr">
        <is>
          <t>PENDING</t>
        </is>
      </c>
      <c r="I307" s="20" t="inlineStr">
        <is>
          <t>PENDING</t>
        </is>
      </c>
      <c r="J307" s="20" t="inlineStr">
        <is>
          <t>PENDING</t>
        </is>
      </c>
      <c r="K307" s="20" t="inlineStr">
        <is>
          <t>待确认</t>
        </is>
      </c>
      <c r="L307" s="20">
        <f>IF(B307="","",IF(OR(F307="FAIL",K307="泄漏"),"DROP",IF(G307="FAIL","RELABEL",IF(OR(H307="FAIL",I307="FAIL",J307="FAIL"),"REWORK",IF(COUNTIF(F307:J307,"PENDING")&gt;0,"PENDING","REUSE")))))</f>
        <v/>
      </c>
      <c r="M307" s="20" t="inlineStr">
        <is>
          <t>PENDING</t>
        </is>
      </c>
      <c r="N307" s="20" t="str"/>
      <c r="O307" s="20" t="str"/>
      <c r="P307" s="20" t="str"/>
      <c r="Q307" s="20" t="inlineStr">
        <is>
          <t>待确认</t>
        </is>
      </c>
      <c r="R307" s="20" t="inlineStr">
        <is>
          <t>未开始</t>
        </is>
      </c>
      <c r="S307">
        <f>IF(B307="","",IF(E307="已暴露","DEV_REG_ONLY","ANY"))</f>
        <v/>
      </c>
    </row>
    <row r="308">
      <c r="A308" s="20" t="n">
        <v>305</v>
      </c>
      <c r="B308" s="20" t="str"/>
      <c r="C308" s="20" t="str"/>
      <c r="D308" s="20" t="str"/>
      <c r="E308" s="20" t="str"/>
      <c r="F308" s="20" t="inlineStr">
        <is>
          <t>PENDING</t>
        </is>
      </c>
      <c r="G308" s="20" t="inlineStr">
        <is>
          <t>PENDING</t>
        </is>
      </c>
      <c r="H308" s="20" t="inlineStr">
        <is>
          <t>PENDING</t>
        </is>
      </c>
      <c r="I308" s="20" t="inlineStr">
        <is>
          <t>PENDING</t>
        </is>
      </c>
      <c r="J308" s="20" t="inlineStr">
        <is>
          <t>PENDING</t>
        </is>
      </c>
      <c r="K308" s="20" t="inlineStr">
        <is>
          <t>待确认</t>
        </is>
      </c>
      <c r="L308" s="20">
        <f>IF(B308="","",IF(OR(F308="FAIL",K308="泄漏"),"DROP",IF(G308="FAIL","RELABEL",IF(OR(H308="FAIL",I308="FAIL",J308="FAIL"),"REWORK",IF(COUNTIF(F308:J308,"PENDING")&gt;0,"PENDING","REUSE")))))</f>
        <v/>
      </c>
      <c r="M308" s="20" t="inlineStr">
        <is>
          <t>PENDING</t>
        </is>
      </c>
      <c r="N308" s="20" t="str"/>
      <c r="O308" s="20" t="str"/>
      <c r="P308" s="20" t="str"/>
      <c r="Q308" s="20" t="inlineStr">
        <is>
          <t>待确认</t>
        </is>
      </c>
      <c r="R308" s="20" t="inlineStr">
        <is>
          <t>未开始</t>
        </is>
      </c>
      <c r="S308">
        <f>IF(B308="","",IF(E308="已暴露","DEV_REG_ONLY","ANY"))</f>
        <v/>
      </c>
    </row>
    <row r="309">
      <c r="A309" s="20" t="n">
        <v>306</v>
      </c>
      <c r="B309" s="20" t="str"/>
      <c r="C309" s="20" t="str"/>
      <c r="D309" s="20" t="str"/>
      <c r="E309" s="20" t="str"/>
      <c r="F309" s="20" t="inlineStr">
        <is>
          <t>PENDING</t>
        </is>
      </c>
      <c r="G309" s="20" t="inlineStr">
        <is>
          <t>PENDING</t>
        </is>
      </c>
      <c r="H309" s="20" t="inlineStr">
        <is>
          <t>PENDING</t>
        </is>
      </c>
      <c r="I309" s="20" t="inlineStr">
        <is>
          <t>PENDING</t>
        </is>
      </c>
      <c r="J309" s="20" t="inlineStr">
        <is>
          <t>PENDING</t>
        </is>
      </c>
      <c r="K309" s="20" t="inlineStr">
        <is>
          <t>待确认</t>
        </is>
      </c>
      <c r="L309" s="20">
        <f>IF(B309="","",IF(OR(F309="FAIL",K309="泄漏"),"DROP",IF(G309="FAIL","RELABEL",IF(OR(H309="FAIL",I309="FAIL",J309="FAIL"),"REWORK",IF(COUNTIF(F309:J309,"PENDING")&gt;0,"PENDING","REUSE")))))</f>
        <v/>
      </c>
      <c r="M309" s="20" t="inlineStr">
        <is>
          <t>PENDING</t>
        </is>
      </c>
      <c r="N309" s="20" t="str"/>
      <c r="O309" s="20" t="str"/>
      <c r="P309" s="20" t="str"/>
      <c r="Q309" s="20" t="inlineStr">
        <is>
          <t>待确认</t>
        </is>
      </c>
      <c r="R309" s="20" t="inlineStr">
        <is>
          <t>未开始</t>
        </is>
      </c>
      <c r="S309">
        <f>IF(B309="","",IF(E309="已暴露","DEV_REG_ONLY","ANY"))</f>
        <v/>
      </c>
    </row>
    <row r="310">
      <c r="A310" s="20" t="n">
        <v>307</v>
      </c>
      <c r="B310" s="20" t="str"/>
      <c r="C310" s="20" t="str"/>
      <c r="D310" s="20" t="str"/>
      <c r="E310" s="20" t="str"/>
      <c r="F310" s="20" t="inlineStr">
        <is>
          <t>PENDING</t>
        </is>
      </c>
      <c r="G310" s="20" t="inlineStr">
        <is>
          <t>PENDING</t>
        </is>
      </c>
      <c r="H310" s="20" t="inlineStr">
        <is>
          <t>PENDING</t>
        </is>
      </c>
      <c r="I310" s="20" t="inlineStr">
        <is>
          <t>PENDING</t>
        </is>
      </c>
      <c r="J310" s="20" t="inlineStr">
        <is>
          <t>PENDING</t>
        </is>
      </c>
      <c r="K310" s="20" t="inlineStr">
        <is>
          <t>待确认</t>
        </is>
      </c>
      <c r="L310" s="20">
        <f>IF(B310="","",IF(OR(F310="FAIL",K310="泄漏"),"DROP",IF(G310="FAIL","RELABEL",IF(OR(H310="FAIL",I310="FAIL",J310="FAIL"),"REWORK",IF(COUNTIF(F310:J310,"PENDING")&gt;0,"PENDING","REUSE")))))</f>
        <v/>
      </c>
      <c r="M310" s="20" t="inlineStr">
        <is>
          <t>PENDING</t>
        </is>
      </c>
      <c r="N310" s="20" t="str"/>
      <c r="O310" s="20" t="str"/>
      <c r="P310" s="20" t="str"/>
      <c r="Q310" s="20" t="inlineStr">
        <is>
          <t>待确认</t>
        </is>
      </c>
      <c r="R310" s="20" t="inlineStr">
        <is>
          <t>未开始</t>
        </is>
      </c>
      <c r="S310">
        <f>IF(B310="","",IF(E310="已暴露","DEV_REG_ONLY","ANY"))</f>
        <v/>
      </c>
    </row>
    <row r="311">
      <c r="A311" s="20" t="n">
        <v>308</v>
      </c>
      <c r="B311" s="20" t="str"/>
      <c r="C311" s="20" t="str"/>
      <c r="D311" s="20" t="str"/>
      <c r="E311" s="20" t="str"/>
      <c r="F311" s="20" t="inlineStr">
        <is>
          <t>PENDING</t>
        </is>
      </c>
      <c r="G311" s="20" t="inlineStr">
        <is>
          <t>PENDING</t>
        </is>
      </c>
      <c r="H311" s="20" t="inlineStr">
        <is>
          <t>PENDING</t>
        </is>
      </c>
      <c r="I311" s="20" t="inlineStr">
        <is>
          <t>PENDING</t>
        </is>
      </c>
      <c r="J311" s="20" t="inlineStr">
        <is>
          <t>PENDING</t>
        </is>
      </c>
      <c r="K311" s="20" t="inlineStr">
        <is>
          <t>待确认</t>
        </is>
      </c>
      <c r="L311" s="20">
        <f>IF(B311="","",IF(OR(F311="FAIL",K311="泄漏"),"DROP",IF(G311="FAIL","RELABEL",IF(OR(H311="FAIL",I311="FAIL",J311="FAIL"),"REWORK",IF(COUNTIF(F311:J311,"PENDING")&gt;0,"PENDING","REUSE")))))</f>
        <v/>
      </c>
      <c r="M311" s="20" t="inlineStr">
        <is>
          <t>PENDING</t>
        </is>
      </c>
      <c r="N311" s="20" t="str"/>
      <c r="O311" s="20" t="str"/>
      <c r="P311" s="20" t="str"/>
      <c r="Q311" s="20" t="inlineStr">
        <is>
          <t>待确认</t>
        </is>
      </c>
      <c r="R311" s="20" t="inlineStr">
        <is>
          <t>未开始</t>
        </is>
      </c>
      <c r="S311">
        <f>IF(B311="","",IF(E311="已暴露","DEV_REG_ONLY","ANY"))</f>
        <v/>
      </c>
    </row>
    <row r="312">
      <c r="A312" s="20" t="n">
        <v>309</v>
      </c>
      <c r="B312" s="20" t="str"/>
      <c r="C312" s="20" t="str"/>
      <c r="D312" s="20" t="str"/>
      <c r="E312" s="20" t="str"/>
      <c r="F312" s="20" t="inlineStr">
        <is>
          <t>PENDING</t>
        </is>
      </c>
      <c r="G312" s="20" t="inlineStr">
        <is>
          <t>PENDING</t>
        </is>
      </c>
      <c r="H312" s="20" t="inlineStr">
        <is>
          <t>PENDING</t>
        </is>
      </c>
      <c r="I312" s="20" t="inlineStr">
        <is>
          <t>PENDING</t>
        </is>
      </c>
      <c r="J312" s="20" t="inlineStr">
        <is>
          <t>PENDING</t>
        </is>
      </c>
      <c r="K312" s="20" t="inlineStr">
        <is>
          <t>待确认</t>
        </is>
      </c>
      <c r="L312" s="20">
        <f>IF(B312="","",IF(OR(F312="FAIL",K312="泄漏"),"DROP",IF(G312="FAIL","RELABEL",IF(OR(H312="FAIL",I312="FAIL",J312="FAIL"),"REWORK",IF(COUNTIF(F312:J312,"PENDING")&gt;0,"PENDING","REUSE")))))</f>
        <v/>
      </c>
      <c r="M312" s="20" t="inlineStr">
        <is>
          <t>PENDING</t>
        </is>
      </c>
      <c r="N312" s="20" t="str"/>
      <c r="O312" s="20" t="str"/>
      <c r="P312" s="20" t="str"/>
      <c r="Q312" s="20" t="inlineStr">
        <is>
          <t>待确认</t>
        </is>
      </c>
      <c r="R312" s="20" t="inlineStr">
        <is>
          <t>未开始</t>
        </is>
      </c>
      <c r="S312">
        <f>IF(B312="","",IF(E312="已暴露","DEV_REG_ONLY","ANY"))</f>
        <v/>
      </c>
    </row>
    <row r="313">
      <c r="A313" s="20" t="n">
        <v>310</v>
      </c>
      <c r="B313" s="20" t="str"/>
      <c r="C313" s="20" t="str"/>
      <c r="D313" s="20" t="str"/>
      <c r="E313" s="20" t="str"/>
      <c r="F313" s="20" t="inlineStr">
        <is>
          <t>PENDING</t>
        </is>
      </c>
      <c r="G313" s="20" t="inlineStr">
        <is>
          <t>PENDING</t>
        </is>
      </c>
      <c r="H313" s="20" t="inlineStr">
        <is>
          <t>PENDING</t>
        </is>
      </c>
      <c r="I313" s="20" t="inlineStr">
        <is>
          <t>PENDING</t>
        </is>
      </c>
      <c r="J313" s="20" t="inlineStr">
        <is>
          <t>PENDING</t>
        </is>
      </c>
      <c r="K313" s="20" t="inlineStr">
        <is>
          <t>待确认</t>
        </is>
      </c>
      <c r="L313" s="20">
        <f>IF(B313="","",IF(OR(F313="FAIL",K313="泄漏"),"DROP",IF(G313="FAIL","RELABEL",IF(OR(H313="FAIL",I313="FAIL",J313="FAIL"),"REWORK",IF(COUNTIF(F313:J313,"PENDING")&gt;0,"PENDING","REUSE")))))</f>
        <v/>
      </c>
      <c r="M313" s="20" t="inlineStr">
        <is>
          <t>PENDING</t>
        </is>
      </c>
      <c r="N313" s="20" t="str"/>
      <c r="O313" s="20" t="str"/>
      <c r="P313" s="20" t="str"/>
      <c r="Q313" s="20" t="inlineStr">
        <is>
          <t>待确认</t>
        </is>
      </c>
      <c r="R313" s="20" t="inlineStr">
        <is>
          <t>未开始</t>
        </is>
      </c>
      <c r="S313">
        <f>IF(B313="","",IF(E313="已暴露","DEV_REG_ONLY","ANY"))</f>
        <v/>
      </c>
    </row>
    <row r="314">
      <c r="A314" s="20" t="n">
        <v>311</v>
      </c>
      <c r="B314" s="20" t="str"/>
      <c r="C314" s="20" t="str"/>
      <c r="D314" s="20" t="str"/>
      <c r="E314" s="20" t="str"/>
      <c r="F314" s="20" t="inlineStr">
        <is>
          <t>PENDING</t>
        </is>
      </c>
      <c r="G314" s="20" t="inlineStr">
        <is>
          <t>PENDING</t>
        </is>
      </c>
      <c r="H314" s="20" t="inlineStr">
        <is>
          <t>PENDING</t>
        </is>
      </c>
      <c r="I314" s="20" t="inlineStr">
        <is>
          <t>PENDING</t>
        </is>
      </c>
      <c r="J314" s="20" t="inlineStr">
        <is>
          <t>PENDING</t>
        </is>
      </c>
      <c r="K314" s="20" t="inlineStr">
        <is>
          <t>待确认</t>
        </is>
      </c>
      <c r="L314" s="20">
        <f>IF(B314="","",IF(OR(F314="FAIL",K314="泄漏"),"DROP",IF(G314="FAIL","RELABEL",IF(OR(H314="FAIL",I314="FAIL",J314="FAIL"),"REWORK",IF(COUNTIF(F314:J314,"PENDING")&gt;0,"PENDING","REUSE")))))</f>
        <v/>
      </c>
      <c r="M314" s="20" t="inlineStr">
        <is>
          <t>PENDING</t>
        </is>
      </c>
      <c r="N314" s="20" t="str"/>
      <c r="O314" s="20" t="str"/>
      <c r="P314" s="20" t="str"/>
      <c r="Q314" s="20" t="inlineStr">
        <is>
          <t>待确认</t>
        </is>
      </c>
      <c r="R314" s="20" t="inlineStr">
        <is>
          <t>未开始</t>
        </is>
      </c>
      <c r="S314">
        <f>IF(B314="","",IF(E314="已暴露","DEV_REG_ONLY","ANY"))</f>
        <v/>
      </c>
    </row>
    <row r="315">
      <c r="A315" s="20" t="n">
        <v>312</v>
      </c>
      <c r="B315" s="20" t="str"/>
      <c r="C315" s="20" t="str"/>
      <c r="D315" s="20" t="str"/>
      <c r="E315" s="20" t="str"/>
      <c r="F315" s="20" t="inlineStr">
        <is>
          <t>PENDING</t>
        </is>
      </c>
      <c r="G315" s="20" t="inlineStr">
        <is>
          <t>PENDING</t>
        </is>
      </c>
      <c r="H315" s="20" t="inlineStr">
        <is>
          <t>PENDING</t>
        </is>
      </c>
      <c r="I315" s="20" t="inlineStr">
        <is>
          <t>PENDING</t>
        </is>
      </c>
      <c r="J315" s="20" t="inlineStr">
        <is>
          <t>PENDING</t>
        </is>
      </c>
      <c r="K315" s="20" t="inlineStr">
        <is>
          <t>待确认</t>
        </is>
      </c>
      <c r="L315" s="20">
        <f>IF(B315="","",IF(OR(F315="FAIL",K315="泄漏"),"DROP",IF(G315="FAIL","RELABEL",IF(OR(H315="FAIL",I315="FAIL",J315="FAIL"),"REWORK",IF(COUNTIF(F315:J315,"PENDING")&gt;0,"PENDING","REUSE")))))</f>
        <v/>
      </c>
      <c r="M315" s="20" t="inlineStr">
        <is>
          <t>PENDING</t>
        </is>
      </c>
      <c r="N315" s="20" t="str"/>
      <c r="O315" s="20" t="str"/>
      <c r="P315" s="20" t="str"/>
      <c r="Q315" s="20" t="inlineStr">
        <is>
          <t>待确认</t>
        </is>
      </c>
      <c r="R315" s="20" t="inlineStr">
        <is>
          <t>未开始</t>
        </is>
      </c>
      <c r="S315">
        <f>IF(B315="","",IF(E315="已暴露","DEV_REG_ONLY","ANY"))</f>
        <v/>
      </c>
    </row>
    <row r="316">
      <c r="A316" s="20" t="n">
        <v>313</v>
      </c>
      <c r="B316" s="20" t="str"/>
      <c r="C316" s="20" t="str"/>
      <c r="D316" s="20" t="str"/>
      <c r="E316" s="20" t="str"/>
      <c r="F316" s="20" t="inlineStr">
        <is>
          <t>PENDING</t>
        </is>
      </c>
      <c r="G316" s="20" t="inlineStr">
        <is>
          <t>PENDING</t>
        </is>
      </c>
      <c r="H316" s="20" t="inlineStr">
        <is>
          <t>PENDING</t>
        </is>
      </c>
      <c r="I316" s="20" t="inlineStr">
        <is>
          <t>PENDING</t>
        </is>
      </c>
      <c r="J316" s="20" t="inlineStr">
        <is>
          <t>PENDING</t>
        </is>
      </c>
      <c r="K316" s="20" t="inlineStr">
        <is>
          <t>待确认</t>
        </is>
      </c>
      <c r="L316" s="20">
        <f>IF(B316="","",IF(OR(F316="FAIL",K316="泄漏"),"DROP",IF(G316="FAIL","RELABEL",IF(OR(H316="FAIL",I316="FAIL",J316="FAIL"),"REWORK",IF(COUNTIF(F316:J316,"PENDING")&gt;0,"PENDING","REUSE")))))</f>
        <v/>
      </c>
      <c r="M316" s="20" t="inlineStr">
        <is>
          <t>PENDING</t>
        </is>
      </c>
      <c r="N316" s="20" t="str"/>
      <c r="O316" s="20" t="str"/>
      <c r="P316" s="20" t="str"/>
      <c r="Q316" s="20" t="inlineStr">
        <is>
          <t>待确认</t>
        </is>
      </c>
      <c r="R316" s="20" t="inlineStr">
        <is>
          <t>未开始</t>
        </is>
      </c>
      <c r="S316">
        <f>IF(B316="","",IF(E316="已暴露","DEV_REG_ONLY","ANY"))</f>
        <v/>
      </c>
    </row>
    <row r="317">
      <c r="A317" s="20" t="n">
        <v>314</v>
      </c>
      <c r="B317" s="20" t="str"/>
      <c r="C317" s="20" t="str"/>
      <c r="D317" s="20" t="str"/>
      <c r="E317" s="20" t="str"/>
      <c r="F317" s="20" t="inlineStr">
        <is>
          <t>PENDING</t>
        </is>
      </c>
      <c r="G317" s="20" t="inlineStr">
        <is>
          <t>PENDING</t>
        </is>
      </c>
      <c r="H317" s="20" t="inlineStr">
        <is>
          <t>PENDING</t>
        </is>
      </c>
      <c r="I317" s="20" t="inlineStr">
        <is>
          <t>PENDING</t>
        </is>
      </c>
      <c r="J317" s="20" t="inlineStr">
        <is>
          <t>PENDING</t>
        </is>
      </c>
      <c r="K317" s="20" t="inlineStr">
        <is>
          <t>待确认</t>
        </is>
      </c>
      <c r="L317" s="20">
        <f>IF(B317="","",IF(OR(F317="FAIL",K317="泄漏"),"DROP",IF(G317="FAIL","RELABEL",IF(OR(H317="FAIL",I317="FAIL",J317="FAIL"),"REWORK",IF(COUNTIF(F317:J317,"PENDING")&gt;0,"PENDING","REUSE")))))</f>
        <v/>
      </c>
      <c r="M317" s="20" t="inlineStr">
        <is>
          <t>PENDING</t>
        </is>
      </c>
      <c r="N317" s="20" t="str"/>
      <c r="O317" s="20" t="str"/>
      <c r="P317" s="20" t="str"/>
      <c r="Q317" s="20" t="inlineStr">
        <is>
          <t>待确认</t>
        </is>
      </c>
      <c r="R317" s="20" t="inlineStr">
        <is>
          <t>未开始</t>
        </is>
      </c>
      <c r="S317">
        <f>IF(B317="","",IF(E317="已暴露","DEV_REG_ONLY","ANY"))</f>
        <v/>
      </c>
    </row>
    <row r="318">
      <c r="A318" s="20" t="n">
        <v>315</v>
      </c>
      <c r="B318" s="20" t="str"/>
      <c r="C318" s="20" t="str"/>
      <c r="D318" s="20" t="str"/>
      <c r="E318" s="20" t="str"/>
      <c r="F318" s="20" t="inlineStr">
        <is>
          <t>PENDING</t>
        </is>
      </c>
      <c r="G318" s="20" t="inlineStr">
        <is>
          <t>PENDING</t>
        </is>
      </c>
      <c r="H318" s="20" t="inlineStr">
        <is>
          <t>PENDING</t>
        </is>
      </c>
      <c r="I318" s="20" t="inlineStr">
        <is>
          <t>PENDING</t>
        </is>
      </c>
      <c r="J318" s="20" t="inlineStr">
        <is>
          <t>PENDING</t>
        </is>
      </c>
      <c r="K318" s="20" t="inlineStr">
        <is>
          <t>待确认</t>
        </is>
      </c>
      <c r="L318" s="20">
        <f>IF(B318="","",IF(OR(F318="FAIL",K318="泄漏"),"DROP",IF(G318="FAIL","RELABEL",IF(OR(H318="FAIL",I318="FAIL",J318="FAIL"),"REWORK",IF(COUNTIF(F318:J318,"PENDING")&gt;0,"PENDING","REUSE")))))</f>
        <v/>
      </c>
      <c r="M318" s="20" t="inlineStr">
        <is>
          <t>PENDING</t>
        </is>
      </c>
      <c r="N318" s="20" t="str"/>
      <c r="O318" s="20" t="str"/>
      <c r="P318" s="20" t="str"/>
      <c r="Q318" s="20" t="inlineStr">
        <is>
          <t>待确认</t>
        </is>
      </c>
      <c r="R318" s="20" t="inlineStr">
        <is>
          <t>未开始</t>
        </is>
      </c>
      <c r="S318">
        <f>IF(B318="","",IF(E318="已暴露","DEV_REG_ONLY","ANY"))</f>
        <v/>
      </c>
    </row>
    <row r="319">
      <c r="A319" s="20" t="n">
        <v>316</v>
      </c>
      <c r="B319" s="20" t="str"/>
      <c r="C319" s="20" t="str"/>
      <c r="D319" s="20" t="str"/>
      <c r="E319" s="20" t="str"/>
      <c r="F319" s="20" t="inlineStr">
        <is>
          <t>PENDING</t>
        </is>
      </c>
      <c r="G319" s="20" t="inlineStr">
        <is>
          <t>PENDING</t>
        </is>
      </c>
      <c r="H319" s="20" t="inlineStr">
        <is>
          <t>PENDING</t>
        </is>
      </c>
      <c r="I319" s="20" t="inlineStr">
        <is>
          <t>PENDING</t>
        </is>
      </c>
      <c r="J319" s="20" t="inlineStr">
        <is>
          <t>PENDING</t>
        </is>
      </c>
      <c r="K319" s="20" t="inlineStr">
        <is>
          <t>待确认</t>
        </is>
      </c>
      <c r="L319" s="20">
        <f>IF(B319="","",IF(OR(F319="FAIL",K319="泄漏"),"DROP",IF(G319="FAIL","RELABEL",IF(OR(H319="FAIL",I319="FAIL",J319="FAIL"),"REWORK",IF(COUNTIF(F319:J319,"PENDING")&gt;0,"PENDING","REUSE")))))</f>
        <v/>
      </c>
      <c r="M319" s="20" t="inlineStr">
        <is>
          <t>PENDING</t>
        </is>
      </c>
      <c r="N319" s="20" t="str"/>
      <c r="O319" s="20" t="str"/>
      <c r="P319" s="20" t="str"/>
      <c r="Q319" s="20" t="inlineStr">
        <is>
          <t>待确认</t>
        </is>
      </c>
      <c r="R319" s="20" t="inlineStr">
        <is>
          <t>未开始</t>
        </is>
      </c>
      <c r="S319">
        <f>IF(B319="","",IF(E319="已暴露","DEV_REG_ONLY","ANY"))</f>
        <v/>
      </c>
    </row>
    <row r="320">
      <c r="A320" s="20" t="n">
        <v>317</v>
      </c>
      <c r="B320" s="20" t="str"/>
      <c r="C320" s="20" t="str"/>
      <c r="D320" s="20" t="str"/>
      <c r="E320" s="20" t="str"/>
      <c r="F320" s="20" t="inlineStr">
        <is>
          <t>PENDING</t>
        </is>
      </c>
      <c r="G320" s="20" t="inlineStr">
        <is>
          <t>PENDING</t>
        </is>
      </c>
      <c r="H320" s="20" t="inlineStr">
        <is>
          <t>PENDING</t>
        </is>
      </c>
      <c r="I320" s="20" t="inlineStr">
        <is>
          <t>PENDING</t>
        </is>
      </c>
      <c r="J320" s="20" t="inlineStr">
        <is>
          <t>PENDING</t>
        </is>
      </c>
      <c r="K320" s="20" t="inlineStr">
        <is>
          <t>待确认</t>
        </is>
      </c>
      <c r="L320" s="20">
        <f>IF(B320="","",IF(OR(F320="FAIL",K320="泄漏"),"DROP",IF(G320="FAIL","RELABEL",IF(OR(H320="FAIL",I320="FAIL",J320="FAIL"),"REWORK",IF(COUNTIF(F320:J320,"PENDING")&gt;0,"PENDING","REUSE")))))</f>
        <v/>
      </c>
      <c r="M320" s="20" t="inlineStr">
        <is>
          <t>PENDING</t>
        </is>
      </c>
      <c r="N320" s="20" t="str"/>
      <c r="O320" s="20" t="str"/>
      <c r="P320" s="20" t="str"/>
      <c r="Q320" s="20" t="inlineStr">
        <is>
          <t>待确认</t>
        </is>
      </c>
      <c r="R320" s="20" t="inlineStr">
        <is>
          <t>未开始</t>
        </is>
      </c>
      <c r="S320">
        <f>IF(B320="","",IF(E320="已暴露","DEV_REG_ONLY","ANY"))</f>
        <v/>
      </c>
    </row>
    <row r="321">
      <c r="A321" s="20" t="n">
        <v>318</v>
      </c>
      <c r="B321" s="20" t="str"/>
      <c r="C321" s="20" t="str"/>
      <c r="D321" s="20" t="str"/>
      <c r="E321" s="20" t="str"/>
      <c r="F321" s="20" t="inlineStr">
        <is>
          <t>PENDING</t>
        </is>
      </c>
      <c r="G321" s="20" t="inlineStr">
        <is>
          <t>PENDING</t>
        </is>
      </c>
      <c r="H321" s="20" t="inlineStr">
        <is>
          <t>PENDING</t>
        </is>
      </c>
      <c r="I321" s="20" t="inlineStr">
        <is>
          <t>PENDING</t>
        </is>
      </c>
      <c r="J321" s="20" t="inlineStr">
        <is>
          <t>PENDING</t>
        </is>
      </c>
      <c r="K321" s="20" t="inlineStr">
        <is>
          <t>待确认</t>
        </is>
      </c>
      <c r="L321" s="20">
        <f>IF(B321="","",IF(OR(F321="FAIL",K321="泄漏"),"DROP",IF(G321="FAIL","RELABEL",IF(OR(H321="FAIL",I321="FAIL",J321="FAIL"),"REWORK",IF(COUNTIF(F321:J321,"PENDING")&gt;0,"PENDING","REUSE")))))</f>
        <v/>
      </c>
      <c r="M321" s="20" t="inlineStr">
        <is>
          <t>PENDING</t>
        </is>
      </c>
      <c r="N321" s="20" t="str"/>
      <c r="O321" s="20" t="str"/>
      <c r="P321" s="20" t="str"/>
      <c r="Q321" s="20" t="inlineStr">
        <is>
          <t>待确认</t>
        </is>
      </c>
      <c r="R321" s="20" t="inlineStr">
        <is>
          <t>未开始</t>
        </is>
      </c>
      <c r="S321">
        <f>IF(B321="","",IF(E321="已暴露","DEV_REG_ONLY","ANY"))</f>
        <v/>
      </c>
    </row>
    <row r="322">
      <c r="A322" s="20" t="n">
        <v>319</v>
      </c>
      <c r="B322" s="20" t="str"/>
      <c r="C322" s="20" t="str"/>
      <c r="D322" s="20" t="str"/>
      <c r="E322" s="20" t="str"/>
      <c r="F322" s="20" t="inlineStr">
        <is>
          <t>PENDING</t>
        </is>
      </c>
      <c r="G322" s="20" t="inlineStr">
        <is>
          <t>PENDING</t>
        </is>
      </c>
      <c r="H322" s="20" t="inlineStr">
        <is>
          <t>PENDING</t>
        </is>
      </c>
      <c r="I322" s="20" t="inlineStr">
        <is>
          <t>PENDING</t>
        </is>
      </c>
      <c r="J322" s="20" t="inlineStr">
        <is>
          <t>PENDING</t>
        </is>
      </c>
      <c r="K322" s="20" t="inlineStr">
        <is>
          <t>待确认</t>
        </is>
      </c>
      <c r="L322" s="20">
        <f>IF(B322="","",IF(OR(F322="FAIL",K322="泄漏"),"DROP",IF(G322="FAIL","RELABEL",IF(OR(H322="FAIL",I322="FAIL",J322="FAIL"),"REWORK",IF(COUNTIF(F322:J322,"PENDING")&gt;0,"PENDING","REUSE")))))</f>
        <v/>
      </c>
      <c r="M322" s="20" t="inlineStr">
        <is>
          <t>PENDING</t>
        </is>
      </c>
      <c r="N322" s="20" t="str"/>
      <c r="O322" s="20" t="str"/>
      <c r="P322" s="20" t="str"/>
      <c r="Q322" s="20" t="inlineStr">
        <is>
          <t>待确认</t>
        </is>
      </c>
      <c r="R322" s="20" t="inlineStr">
        <is>
          <t>未开始</t>
        </is>
      </c>
      <c r="S322">
        <f>IF(B322="","",IF(E322="已暴露","DEV_REG_ONLY","ANY"))</f>
        <v/>
      </c>
    </row>
    <row r="323">
      <c r="A323" s="20" t="n">
        <v>320</v>
      </c>
      <c r="B323" s="20" t="str"/>
      <c r="C323" s="20" t="str"/>
      <c r="D323" s="20" t="str"/>
      <c r="E323" s="20" t="str"/>
      <c r="F323" s="20" t="inlineStr">
        <is>
          <t>PENDING</t>
        </is>
      </c>
      <c r="G323" s="20" t="inlineStr">
        <is>
          <t>PENDING</t>
        </is>
      </c>
      <c r="H323" s="20" t="inlineStr">
        <is>
          <t>PENDING</t>
        </is>
      </c>
      <c r="I323" s="20" t="inlineStr">
        <is>
          <t>PENDING</t>
        </is>
      </c>
      <c r="J323" s="20" t="inlineStr">
        <is>
          <t>PENDING</t>
        </is>
      </c>
      <c r="K323" s="20" t="inlineStr">
        <is>
          <t>待确认</t>
        </is>
      </c>
      <c r="L323" s="20">
        <f>IF(B323="","",IF(OR(F323="FAIL",K323="泄漏"),"DROP",IF(G323="FAIL","RELABEL",IF(OR(H323="FAIL",I323="FAIL",J323="FAIL"),"REWORK",IF(COUNTIF(F323:J323,"PENDING")&gt;0,"PENDING","REUSE")))))</f>
        <v/>
      </c>
      <c r="M323" s="20" t="inlineStr">
        <is>
          <t>PENDING</t>
        </is>
      </c>
      <c r="N323" s="20" t="str"/>
      <c r="O323" s="20" t="str"/>
      <c r="P323" s="20" t="str"/>
      <c r="Q323" s="20" t="inlineStr">
        <is>
          <t>待确认</t>
        </is>
      </c>
      <c r="R323" s="20" t="inlineStr">
        <is>
          <t>未开始</t>
        </is>
      </c>
      <c r="S323">
        <f>IF(B323="","",IF(E323="已暴露","DEV_REG_ONLY","ANY"))</f>
        <v/>
      </c>
    </row>
    <row r="324">
      <c r="A324" s="20" t="n">
        <v>321</v>
      </c>
      <c r="B324" s="20" t="str"/>
      <c r="C324" s="20" t="str"/>
      <c r="D324" s="20" t="str"/>
      <c r="E324" s="20" t="str"/>
      <c r="F324" s="20" t="inlineStr">
        <is>
          <t>PENDING</t>
        </is>
      </c>
      <c r="G324" s="20" t="inlineStr">
        <is>
          <t>PENDING</t>
        </is>
      </c>
      <c r="H324" s="20" t="inlineStr">
        <is>
          <t>PENDING</t>
        </is>
      </c>
      <c r="I324" s="20" t="inlineStr">
        <is>
          <t>PENDING</t>
        </is>
      </c>
      <c r="J324" s="20" t="inlineStr">
        <is>
          <t>PENDING</t>
        </is>
      </c>
      <c r="K324" s="20" t="inlineStr">
        <is>
          <t>待确认</t>
        </is>
      </c>
      <c r="L324" s="20">
        <f>IF(B324="","",IF(OR(F324="FAIL",K324="泄漏"),"DROP",IF(G324="FAIL","RELABEL",IF(OR(H324="FAIL",I324="FAIL",J324="FAIL"),"REWORK",IF(COUNTIF(F324:J324,"PENDING")&gt;0,"PENDING","REUSE")))))</f>
        <v/>
      </c>
      <c r="M324" s="20" t="inlineStr">
        <is>
          <t>PENDING</t>
        </is>
      </c>
      <c r="N324" s="20" t="str"/>
      <c r="O324" s="20" t="str"/>
      <c r="P324" s="20" t="str"/>
      <c r="Q324" s="20" t="inlineStr">
        <is>
          <t>待确认</t>
        </is>
      </c>
      <c r="R324" s="20" t="inlineStr">
        <is>
          <t>未开始</t>
        </is>
      </c>
      <c r="S324">
        <f>IF(B324="","",IF(E324="已暴露","DEV_REG_ONLY","ANY"))</f>
        <v/>
      </c>
    </row>
    <row r="325">
      <c r="A325" s="20" t="n">
        <v>322</v>
      </c>
      <c r="B325" s="20" t="str"/>
      <c r="C325" s="20" t="str"/>
      <c r="D325" s="20" t="str"/>
      <c r="E325" s="20" t="str"/>
      <c r="F325" s="20" t="inlineStr">
        <is>
          <t>PENDING</t>
        </is>
      </c>
      <c r="G325" s="20" t="inlineStr">
        <is>
          <t>PENDING</t>
        </is>
      </c>
      <c r="H325" s="20" t="inlineStr">
        <is>
          <t>PENDING</t>
        </is>
      </c>
      <c r="I325" s="20" t="inlineStr">
        <is>
          <t>PENDING</t>
        </is>
      </c>
      <c r="J325" s="20" t="inlineStr">
        <is>
          <t>PENDING</t>
        </is>
      </c>
      <c r="K325" s="20" t="inlineStr">
        <is>
          <t>待确认</t>
        </is>
      </c>
      <c r="L325" s="20">
        <f>IF(B325="","",IF(OR(F325="FAIL",K325="泄漏"),"DROP",IF(G325="FAIL","RELABEL",IF(OR(H325="FAIL",I325="FAIL",J325="FAIL"),"REWORK",IF(COUNTIF(F325:J325,"PENDING")&gt;0,"PENDING","REUSE")))))</f>
        <v/>
      </c>
      <c r="M325" s="20" t="inlineStr">
        <is>
          <t>PENDING</t>
        </is>
      </c>
      <c r="N325" s="20" t="str"/>
      <c r="O325" s="20" t="str"/>
      <c r="P325" s="20" t="str"/>
      <c r="Q325" s="20" t="inlineStr">
        <is>
          <t>待确认</t>
        </is>
      </c>
      <c r="R325" s="20" t="inlineStr">
        <is>
          <t>未开始</t>
        </is>
      </c>
      <c r="S325">
        <f>IF(B325="","",IF(E325="已暴露","DEV_REG_ONLY","ANY"))</f>
        <v/>
      </c>
    </row>
    <row r="326">
      <c r="A326" s="20" t="n">
        <v>323</v>
      </c>
      <c r="B326" s="20" t="str"/>
      <c r="C326" s="20" t="str"/>
      <c r="D326" s="20" t="str"/>
      <c r="E326" s="20" t="str"/>
      <c r="F326" s="20" t="inlineStr">
        <is>
          <t>PENDING</t>
        </is>
      </c>
      <c r="G326" s="20" t="inlineStr">
        <is>
          <t>PENDING</t>
        </is>
      </c>
      <c r="H326" s="20" t="inlineStr">
        <is>
          <t>PENDING</t>
        </is>
      </c>
      <c r="I326" s="20" t="inlineStr">
        <is>
          <t>PENDING</t>
        </is>
      </c>
      <c r="J326" s="20" t="inlineStr">
        <is>
          <t>PENDING</t>
        </is>
      </c>
      <c r="K326" s="20" t="inlineStr">
        <is>
          <t>待确认</t>
        </is>
      </c>
      <c r="L326" s="20">
        <f>IF(B326="","",IF(OR(F326="FAIL",K326="泄漏"),"DROP",IF(G326="FAIL","RELABEL",IF(OR(H326="FAIL",I326="FAIL",J326="FAIL"),"REWORK",IF(COUNTIF(F326:J326,"PENDING")&gt;0,"PENDING","REUSE")))))</f>
        <v/>
      </c>
      <c r="M326" s="20" t="inlineStr">
        <is>
          <t>PENDING</t>
        </is>
      </c>
      <c r="N326" s="20" t="str"/>
      <c r="O326" s="20" t="str"/>
      <c r="P326" s="20" t="str"/>
      <c r="Q326" s="20" t="inlineStr">
        <is>
          <t>待确认</t>
        </is>
      </c>
      <c r="R326" s="20" t="inlineStr">
        <is>
          <t>未开始</t>
        </is>
      </c>
      <c r="S326">
        <f>IF(B326="","",IF(E326="已暴露","DEV_REG_ONLY","ANY"))</f>
        <v/>
      </c>
    </row>
    <row r="327">
      <c r="A327" s="20" t="n">
        <v>324</v>
      </c>
      <c r="B327" s="20" t="str"/>
      <c r="C327" s="20" t="str"/>
      <c r="D327" s="20" t="str"/>
      <c r="E327" s="20" t="str"/>
      <c r="F327" s="20" t="inlineStr">
        <is>
          <t>PENDING</t>
        </is>
      </c>
      <c r="G327" s="20" t="inlineStr">
        <is>
          <t>PENDING</t>
        </is>
      </c>
      <c r="H327" s="20" t="inlineStr">
        <is>
          <t>PENDING</t>
        </is>
      </c>
      <c r="I327" s="20" t="inlineStr">
        <is>
          <t>PENDING</t>
        </is>
      </c>
      <c r="J327" s="20" t="inlineStr">
        <is>
          <t>PENDING</t>
        </is>
      </c>
      <c r="K327" s="20" t="inlineStr">
        <is>
          <t>待确认</t>
        </is>
      </c>
      <c r="L327" s="20">
        <f>IF(B327="","",IF(OR(F327="FAIL",K327="泄漏"),"DROP",IF(G327="FAIL","RELABEL",IF(OR(H327="FAIL",I327="FAIL",J327="FAIL"),"REWORK",IF(COUNTIF(F327:J327,"PENDING")&gt;0,"PENDING","REUSE")))))</f>
        <v/>
      </c>
      <c r="M327" s="20" t="inlineStr">
        <is>
          <t>PENDING</t>
        </is>
      </c>
      <c r="N327" s="20" t="str"/>
      <c r="O327" s="20" t="str"/>
      <c r="P327" s="20" t="str"/>
      <c r="Q327" s="20" t="inlineStr">
        <is>
          <t>待确认</t>
        </is>
      </c>
      <c r="R327" s="20" t="inlineStr">
        <is>
          <t>未开始</t>
        </is>
      </c>
      <c r="S327">
        <f>IF(B327="","",IF(E327="已暴露","DEV_REG_ONLY","ANY"))</f>
        <v/>
      </c>
    </row>
    <row r="328">
      <c r="A328" s="20" t="n">
        <v>325</v>
      </c>
      <c r="B328" s="20" t="str"/>
      <c r="C328" s="20" t="str"/>
      <c r="D328" s="20" t="str"/>
      <c r="E328" s="20" t="str"/>
      <c r="F328" s="20" t="inlineStr">
        <is>
          <t>PENDING</t>
        </is>
      </c>
      <c r="G328" s="20" t="inlineStr">
        <is>
          <t>PENDING</t>
        </is>
      </c>
      <c r="H328" s="20" t="inlineStr">
        <is>
          <t>PENDING</t>
        </is>
      </c>
      <c r="I328" s="20" t="inlineStr">
        <is>
          <t>PENDING</t>
        </is>
      </c>
      <c r="J328" s="20" t="inlineStr">
        <is>
          <t>PENDING</t>
        </is>
      </c>
      <c r="K328" s="20" t="inlineStr">
        <is>
          <t>待确认</t>
        </is>
      </c>
      <c r="L328" s="20">
        <f>IF(B328="","",IF(OR(F328="FAIL",K328="泄漏"),"DROP",IF(G328="FAIL","RELABEL",IF(OR(H328="FAIL",I328="FAIL",J328="FAIL"),"REWORK",IF(COUNTIF(F328:J328,"PENDING")&gt;0,"PENDING","REUSE")))))</f>
        <v/>
      </c>
      <c r="M328" s="20" t="inlineStr">
        <is>
          <t>PENDING</t>
        </is>
      </c>
      <c r="N328" s="20" t="str"/>
      <c r="O328" s="20" t="str"/>
      <c r="P328" s="20" t="str"/>
      <c r="Q328" s="20" t="inlineStr">
        <is>
          <t>待确认</t>
        </is>
      </c>
      <c r="R328" s="20" t="inlineStr">
        <is>
          <t>未开始</t>
        </is>
      </c>
      <c r="S328">
        <f>IF(B328="","",IF(E328="已暴露","DEV_REG_ONLY","ANY"))</f>
        <v/>
      </c>
    </row>
    <row r="329">
      <c r="A329" s="20" t="n">
        <v>326</v>
      </c>
      <c r="B329" s="20" t="str"/>
      <c r="C329" s="20" t="str"/>
      <c r="D329" s="20" t="str"/>
      <c r="E329" s="20" t="str"/>
      <c r="F329" s="20" t="inlineStr">
        <is>
          <t>PENDING</t>
        </is>
      </c>
      <c r="G329" s="20" t="inlineStr">
        <is>
          <t>PENDING</t>
        </is>
      </c>
      <c r="H329" s="20" t="inlineStr">
        <is>
          <t>PENDING</t>
        </is>
      </c>
      <c r="I329" s="20" t="inlineStr">
        <is>
          <t>PENDING</t>
        </is>
      </c>
      <c r="J329" s="20" t="inlineStr">
        <is>
          <t>PENDING</t>
        </is>
      </c>
      <c r="K329" s="20" t="inlineStr">
        <is>
          <t>待确认</t>
        </is>
      </c>
      <c r="L329" s="20">
        <f>IF(B329="","",IF(OR(F329="FAIL",K329="泄漏"),"DROP",IF(G329="FAIL","RELABEL",IF(OR(H329="FAIL",I329="FAIL",J329="FAIL"),"REWORK",IF(COUNTIF(F329:J329,"PENDING")&gt;0,"PENDING","REUSE")))))</f>
        <v/>
      </c>
      <c r="M329" s="20" t="inlineStr">
        <is>
          <t>PENDING</t>
        </is>
      </c>
      <c r="N329" s="20" t="str"/>
      <c r="O329" s="20" t="str"/>
      <c r="P329" s="20" t="str"/>
      <c r="Q329" s="20" t="inlineStr">
        <is>
          <t>待确认</t>
        </is>
      </c>
      <c r="R329" s="20" t="inlineStr">
        <is>
          <t>未开始</t>
        </is>
      </c>
      <c r="S329">
        <f>IF(B329="","",IF(E329="已暴露","DEV_REG_ONLY","ANY"))</f>
        <v/>
      </c>
    </row>
    <row r="330">
      <c r="A330" s="20" t="n">
        <v>327</v>
      </c>
      <c r="B330" s="20" t="str"/>
      <c r="C330" s="20" t="str"/>
      <c r="D330" s="20" t="str"/>
      <c r="E330" s="20" t="str"/>
      <c r="F330" s="20" t="inlineStr">
        <is>
          <t>PENDING</t>
        </is>
      </c>
      <c r="G330" s="20" t="inlineStr">
        <is>
          <t>PENDING</t>
        </is>
      </c>
      <c r="H330" s="20" t="inlineStr">
        <is>
          <t>PENDING</t>
        </is>
      </c>
      <c r="I330" s="20" t="inlineStr">
        <is>
          <t>PENDING</t>
        </is>
      </c>
      <c r="J330" s="20" t="inlineStr">
        <is>
          <t>PENDING</t>
        </is>
      </c>
      <c r="K330" s="20" t="inlineStr">
        <is>
          <t>待确认</t>
        </is>
      </c>
      <c r="L330" s="20">
        <f>IF(B330="","",IF(OR(F330="FAIL",K330="泄漏"),"DROP",IF(G330="FAIL","RELABEL",IF(OR(H330="FAIL",I330="FAIL",J330="FAIL"),"REWORK",IF(COUNTIF(F330:J330,"PENDING")&gt;0,"PENDING","REUSE")))))</f>
        <v/>
      </c>
      <c r="M330" s="20" t="inlineStr">
        <is>
          <t>PENDING</t>
        </is>
      </c>
      <c r="N330" s="20" t="str"/>
      <c r="O330" s="20" t="str"/>
      <c r="P330" s="20" t="str"/>
      <c r="Q330" s="20" t="inlineStr">
        <is>
          <t>待确认</t>
        </is>
      </c>
      <c r="R330" s="20" t="inlineStr">
        <is>
          <t>未开始</t>
        </is>
      </c>
      <c r="S330">
        <f>IF(B330="","",IF(E330="已暴露","DEV_REG_ONLY","ANY"))</f>
        <v/>
      </c>
    </row>
    <row r="331">
      <c r="A331" s="20" t="n">
        <v>328</v>
      </c>
      <c r="B331" s="20" t="str"/>
      <c r="C331" s="20" t="str"/>
      <c r="D331" s="20" t="str"/>
      <c r="E331" s="20" t="str"/>
      <c r="F331" s="20" t="inlineStr">
        <is>
          <t>PENDING</t>
        </is>
      </c>
      <c r="G331" s="20" t="inlineStr">
        <is>
          <t>PENDING</t>
        </is>
      </c>
      <c r="H331" s="20" t="inlineStr">
        <is>
          <t>PENDING</t>
        </is>
      </c>
      <c r="I331" s="20" t="inlineStr">
        <is>
          <t>PENDING</t>
        </is>
      </c>
      <c r="J331" s="20" t="inlineStr">
        <is>
          <t>PENDING</t>
        </is>
      </c>
      <c r="K331" s="20" t="inlineStr">
        <is>
          <t>待确认</t>
        </is>
      </c>
      <c r="L331" s="20">
        <f>IF(B331="","",IF(OR(F331="FAIL",K331="泄漏"),"DROP",IF(G331="FAIL","RELABEL",IF(OR(H331="FAIL",I331="FAIL",J331="FAIL"),"REWORK",IF(COUNTIF(F331:J331,"PENDING")&gt;0,"PENDING","REUSE")))))</f>
        <v/>
      </c>
      <c r="M331" s="20" t="inlineStr">
        <is>
          <t>PENDING</t>
        </is>
      </c>
      <c r="N331" s="20" t="str"/>
      <c r="O331" s="20" t="str"/>
      <c r="P331" s="20" t="str"/>
      <c r="Q331" s="20" t="inlineStr">
        <is>
          <t>待确认</t>
        </is>
      </c>
      <c r="R331" s="20" t="inlineStr">
        <is>
          <t>未开始</t>
        </is>
      </c>
      <c r="S331">
        <f>IF(B331="","",IF(E331="已暴露","DEV_REG_ONLY","ANY"))</f>
        <v/>
      </c>
    </row>
    <row r="332">
      <c r="A332" s="20" t="n">
        <v>329</v>
      </c>
      <c r="B332" s="20" t="str"/>
      <c r="C332" s="20" t="str"/>
      <c r="D332" s="20" t="str"/>
      <c r="E332" s="20" t="str"/>
      <c r="F332" s="20" t="inlineStr">
        <is>
          <t>PENDING</t>
        </is>
      </c>
      <c r="G332" s="20" t="inlineStr">
        <is>
          <t>PENDING</t>
        </is>
      </c>
      <c r="H332" s="20" t="inlineStr">
        <is>
          <t>PENDING</t>
        </is>
      </c>
      <c r="I332" s="20" t="inlineStr">
        <is>
          <t>PENDING</t>
        </is>
      </c>
      <c r="J332" s="20" t="inlineStr">
        <is>
          <t>PENDING</t>
        </is>
      </c>
      <c r="K332" s="20" t="inlineStr">
        <is>
          <t>待确认</t>
        </is>
      </c>
      <c r="L332" s="20">
        <f>IF(B332="","",IF(OR(F332="FAIL",K332="泄漏"),"DROP",IF(G332="FAIL","RELABEL",IF(OR(H332="FAIL",I332="FAIL",J332="FAIL"),"REWORK",IF(COUNTIF(F332:J332,"PENDING")&gt;0,"PENDING","REUSE")))))</f>
        <v/>
      </c>
      <c r="M332" s="20" t="inlineStr">
        <is>
          <t>PENDING</t>
        </is>
      </c>
      <c r="N332" s="20" t="str"/>
      <c r="O332" s="20" t="str"/>
      <c r="P332" s="20" t="str"/>
      <c r="Q332" s="20" t="inlineStr">
        <is>
          <t>待确认</t>
        </is>
      </c>
      <c r="R332" s="20" t="inlineStr">
        <is>
          <t>未开始</t>
        </is>
      </c>
      <c r="S332">
        <f>IF(B332="","",IF(E332="已暴露","DEV_REG_ONLY","ANY"))</f>
        <v/>
      </c>
    </row>
    <row r="333">
      <c r="A333" s="20" t="n">
        <v>330</v>
      </c>
      <c r="B333" s="20" t="str"/>
      <c r="C333" s="20" t="str"/>
      <c r="D333" s="20" t="str"/>
      <c r="E333" s="20" t="str"/>
      <c r="F333" s="20" t="inlineStr">
        <is>
          <t>PENDING</t>
        </is>
      </c>
      <c r="G333" s="20" t="inlineStr">
        <is>
          <t>PENDING</t>
        </is>
      </c>
      <c r="H333" s="20" t="inlineStr">
        <is>
          <t>PENDING</t>
        </is>
      </c>
      <c r="I333" s="20" t="inlineStr">
        <is>
          <t>PENDING</t>
        </is>
      </c>
      <c r="J333" s="20" t="inlineStr">
        <is>
          <t>PENDING</t>
        </is>
      </c>
      <c r="K333" s="20" t="inlineStr">
        <is>
          <t>待确认</t>
        </is>
      </c>
      <c r="L333" s="20">
        <f>IF(B333="","",IF(OR(F333="FAIL",K333="泄漏"),"DROP",IF(G333="FAIL","RELABEL",IF(OR(H333="FAIL",I333="FAIL",J333="FAIL"),"REWORK",IF(COUNTIF(F333:J333,"PENDING")&gt;0,"PENDING","REUSE")))))</f>
        <v/>
      </c>
      <c r="M333" s="20" t="inlineStr">
        <is>
          <t>PENDING</t>
        </is>
      </c>
      <c r="N333" s="20" t="str"/>
      <c r="O333" s="20" t="str"/>
      <c r="P333" s="20" t="str"/>
      <c r="Q333" s="20" t="inlineStr">
        <is>
          <t>待确认</t>
        </is>
      </c>
      <c r="R333" s="20" t="inlineStr">
        <is>
          <t>未开始</t>
        </is>
      </c>
      <c r="S333">
        <f>IF(B333="","",IF(E333="已暴露","DEV_REG_ONLY","ANY"))</f>
        <v/>
      </c>
    </row>
    <row r="334">
      <c r="A334" s="20" t="n">
        <v>331</v>
      </c>
      <c r="B334" s="20" t="str"/>
      <c r="C334" s="20" t="str"/>
      <c r="D334" s="20" t="str"/>
      <c r="E334" s="20" t="str"/>
      <c r="F334" s="20" t="inlineStr">
        <is>
          <t>PENDING</t>
        </is>
      </c>
      <c r="G334" s="20" t="inlineStr">
        <is>
          <t>PENDING</t>
        </is>
      </c>
      <c r="H334" s="20" t="inlineStr">
        <is>
          <t>PENDING</t>
        </is>
      </c>
      <c r="I334" s="20" t="inlineStr">
        <is>
          <t>PENDING</t>
        </is>
      </c>
      <c r="J334" s="20" t="inlineStr">
        <is>
          <t>PENDING</t>
        </is>
      </c>
      <c r="K334" s="20" t="inlineStr">
        <is>
          <t>待确认</t>
        </is>
      </c>
      <c r="L334" s="20">
        <f>IF(B334="","",IF(OR(F334="FAIL",K334="泄漏"),"DROP",IF(G334="FAIL","RELABEL",IF(OR(H334="FAIL",I334="FAIL",J334="FAIL"),"REWORK",IF(COUNTIF(F334:J334,"PENDING")&gt;0,"PENDING","REUSE")))))</f>
        <v/>
      </c>
      <c r="M334" s="20" t="inlineStr">
        <is>
          <t>PENDING</t>
        </is>
      </c>
      <c r="N334" s="20" t="str"/>
      <c r="O334" s="20" t="str"/>
      <c r="P334" s="20" t="str"/>
      <c r="Q334" s="20" t="inlineStr">
        <is>
          <t>待确认</t>
        </is>
      </c>
      <c r="R334" s="20" t="inlineStr">
        <is>
          <t>未开始</t>
        </is>
      </c>
      <c r="S334">
        <f>IF(B334="","",IF(E334="已暴露","DEV_REG_ONLY","ANY"))</f>
        <v/>
      </c>
    </row>
    <row r="335">
      <c r="A335" s="20" t="n">
        <v>332</v>
      </c>
      <c r="B335" s="20" t="str"/>
      <c r="C335" s="20" t="str"/>
      <c r="D335" s="20" t="str"/>
      <c r="E335" s="20" t="str"/>
      <c r="F335" s="20" t="inlineStr">
        <is>
          <t>PENDING</t>
        </is>
      </c>
      <c r="G335" s="20" t="inlineStr">
        <is>
          <t>PENDING</t>
        </is>
      </c>
      <c r="H335" s="20" t="inlineStr">
        <is>
          <t>PENDING</t>
        </is>
      </c>
      <c r="I335" s="20" t="inlineStr">
        <is>
          <t>PENDING</t>
        </is>
      </c>
      <c r="J335" s="20" t="inlineStr">
        <is>
          <t>PENDING</t>
        </is>
      </c>
      <c r="K335" s="20" t="inlineStr">
        <is>
          <t>待确认</t>
        </is>
      </c>
      <c r="L335" s="20">
        <f>IF(B335="","",IF(OR(F335="FAIL",K335="泄漏"),"DROP",IF(G335="FAIL","RELABEL",IF(OR(H335="FAIL",I335="FAIL",J335="FAIL"),"REWORK",IF(COUNTIF(F335:J335,"PENDING")&gt;0,"PENDING","REUSE")))))</f>
        <v/>
      </c>
      <c r="M335" s="20" t="inlineStr">
        <is>
          <t>PENDING</t>
        </is>
      </c>
      <c r="N335" s="20" t="str"/>
      <c r="O335" s="20" t="str"/>
      <c r="P335" s="20" t="str"/>
      <c r="Q335" s="20" t="inlineStr">
        <is>
          <t>待确认</t>
        </is>
      </c>
      <c r="R335" s="20" t="inlineStr">
        <is>
          <t>未开始</t>
        </is>
      </c>
      <c r="S335">
        <f>IF(B335="","",IF(E335="已暴露","DEV_REG_ONLY","ANY"))</f>
        <v/>
      </c>
    </row>
    <row r="336">
      <c r="A336" s="20" t="n">
        <v>333</v>
      </c>
      <c r="B336" s="20" t="str"/>
      <c r="C336" s="20" t="str"/>
      <c r="D336" s="20" t="str"/>
      <c r="E336" s="20" t="str"/>
      <c r="F336" s="20" t="inlineStr">
        <is>
          <t>PENDING</t>
        </is>
      </c>
      <c r="G336" s="20" t="inlineStr">
        <is>
          <t>PENDING</t>
        </is>
      </c>
      <c r="H336" s="20" t="inlineStr">
        <is>
          <t>PENDING</t>
        </is>
      </c>
      <c r="I336" s="20" t="inlineStr">
        <is>
          <t>PENDING</t>
        </is>
      </c>
      <c r="J336" s="20" t="inlineStr">
        <is>
          <t>PENDING</t>
        </is>
      </c>
      <c r="K336" s="20" t="inlineStr">
        <is>
          <t>待确认</t>
        </is>
      </c>
      <c r="L336" s="20">
        <f>IF(B336="","",IF(OR(F336="FAIL",K336="泄漏"),"DROP",IF(G336="FAIL","RELABEL",IF(OR(H336="FAIL",I336="FAIL",J336="FAIL"),"REWORK",IF(COUNTIF(F336:J336,"PENDING")&gt;0,"PENDING","REUSE")))))</f>
        <v/>
      </c>
      <c r="M336" s="20" t="inlineStr">
        <is>
          <t>PENDING</t>
        </is>
      </c>
      <c r="N336" s="20" t="str"/>
      <c r="O336" s="20" t="str"/>
      <c r="P336" s="20" t="str"/>
      <c r="Q336" s="20" t="inlineStr">
        <is>
          <t>待确认</t>
        </is>
      </c>
      <c r="R336" s="20" t="inlineStr">
        <is>
          <t>未开始</t>
        </is>
      </c>
      <c r="S336">
        <f>IF(B336="","",IF(E336="已暴露","DEV_REG_ONLY","ANY"))</f>
        <v/>
      </c>
    </row>
    <row r="337">
      <c r="A337" s="20" t="n">
        <v>334</v>
      </c>
      <c r="B337" s="20" t="str"/>
      <c r="C337" s="20" t="str"/>
      <c r="D337" s="20" t="str"/>
      <c r="E337" s="20" t="str"/>
      <c r="F337" s="20" t="inlineStr">
        <is>
          <t>PENDING</t>
        </is>
      </c>
      <c r="G337" s="20" t="inlineStr">
        <is>
          <t>PENDING</t>
        </is>
      </c>
      <c r="H337" s="20" t="inlineStr">
        <is>
          <t>PENDING</t>
        </is>
      </c>
      <c r="I337" s="20" t="inlineStr">
        <is>
          <t>PENDING</t>
        </is>
      </c>
      <c r="J337" s="20" t="inlineStr">
        <is>
          <t>PENDING</t>
        </is>
      </c>
      <c r="K337" s="20" t="inlineStr">
        <is>
          <t>待确认</t>
        </is>
      </c>
      <c r="L337" s="20">
        <f>IF(B337="","",IF(OR(F337="FAIL",K337="泄漏"),"DROP",IF(G337="FAIL","RELABEL",IF(OR(H337="FAIL",I337="FAIL",J337="FAIL"),"REWORK",IF(COUNTIF(F337:J337,"PENDING")&gt;0,"PENDING","REUSE")))))</f>
        <v/>
      </c>
      <c r="M337" s="20" t="inlineStr">
        <is>
          <t>PENDING</t>
        </is>
      </c>
      <c r="N337" s="20" t="str"/>
      <c r="O337" s="20" t="str"/>
      <c r="P337" s="20" t="str"/>
      <c r="Q337" s="20" t="inlineStr">
        <is>
          <t>待确认</t>
        </is>
      </c>
      <c r="R337" s="20" t="inlineStr">
        <is>
          <t>未开始</t>
        </is>
      </c>
      <c r="S337">
        <f>IF(B337="","",IF(E337="已暴露","DEV_REG_ONLY","ANY"))</f>
        <v/>
      </c>
    </row>
    <row r="338">
      <c r="A338" s="20" t="n">
        <v>335</v>
      </c>
      <c r="B338" s="20" t="str"/>
      <c r="C338" s="20" t="str"/>
      <c r="D338" s="20" t="str"/>
      <c r="E338" s="20" t="str"/>
      <c r="F338" s="20" t="inlineStr">
        <is>
          <t>PENDING</t>
        </is>
      </c>
      <c r="G338" s="20" t="inlineStr">
        <is>
          <t>PENDING</t>
        </is>
      </c>
      <c r="H338" s="20" t="inlineStr">
        <is>
          <t>PENDING</t>
        </is>
      </c>
      <c r="I338" s="20" t="inlineStr">
        <is>
          <t>PENDING</t>
        </is>
      </c>
      <c r="J338" s="20" t="inlineStr">
        <is>
          <t>PENDING</t>
        </is>
      </c>
      <c r="K338" s="20" t="inlineStr">
        <is>
          <t>待确认</t>
        </is>
      </c>
      <c r="L338" s="20">
        <f>IF(B338="","",IF(OR(F338="FAIL",K338="泄漏"),"DROP",IF(G338="FAIL","RELABEL",IF(OR(H338="FAIL",I338="FAIL",J338="FAIL"),"REWORK",IF(COUNTIF(F338:J338,"PENDING")&gt;0,"PENDING","REUSE")))))</f>
        <v/>
      </c>
      <c r="M338" s="20" t="inlineStr">
        <is>
          <t>PENDING</t>
        </is>
      </c>
      <c r="N338" s="20" t="str"/>
      <c r="O338" s="20" t="str"/>
      <c r="P338" s="20" t="str"/>
      <c r="Q338" s="20" t="inlineStr">
        <is>
          <t>待确认</t>
        </is>
      </c>
      <c r="R338" s="20" t="inlineStr">
        <is>
          <t>未开始</t>
        </is>
      </c>
      <c r="S338">
        <f>IF(B338="","",IF(E338="已暴露","DEV_REG_ONLY","ANY"))</f>
        <v/>
      </c>
    </row>
    <row r="339">
      <c r="A339" s="20" t="n">
        <v>336</v>
      </c>
      <c r="B339" s="20" t="str"/>
      <c r="C339" s="20" t="str"/>
      <c r="D339" s="20" t="str"/>
      <c r="E339" s="20" t="str"/>
      <c r="F339" s="20" t="inlineStr">
        <is>
          <t>PENDING</t>
        </is>
      </c>
      <c r="G339" s="20" t="inlineStr">
        <is>
          <t>PENDING</t>
        </is>
      </c>
      <c r="H339" s="20" t="inlineStr">
        <is>
          <t>PENDING</t>
        </is>
      </c>
      <c r="I339" s="20" t="inlineStr">
        <is>
          <t>PENDING</t>
        </is>
      </c>
      <c r="J339" s="20" t="inlineStr">
        <is>
          <t>PENDING</t>
        </is>
      </c>
      <c r="K339" s="20" t="inlineStr">
        <is>
          <t>待确认</t>
        </is>
      </c>
      <c r="L339" s="20">
        <f>IF(B339="","",IF(OR(F339="FAIL",K339="泄漏"),"DROP",IF(G339="FAIL","RELABEL",IF(OR(H339="FAIL",I339="FAIL",J339="FAIL"),"REWORK",IF(COUNTIF(F339:J339,"PENDING")&gt;0,"PENDING","REUSE")))))</f>
        <v/>
      </c>
      <c r="M339" s="20" t="inlineStr">
        <is>
          <t>PENDING</t>
        </is>
      </c>
      <c r="N339" s="20" t="str"/>
      <c r="O339" s="20" t="str"/>
      <c r="P339" s="20" t="str"/>
      <c r="Q339" s="20" t="inlineStr">
        <is>
          <t>待确认</t>
        </is>
      </c>
      <c r="R339" s="20" t="inlineStr">
        <is>
          <t>未开始</t>
        </is>
      </c>
      <c r="S339">
        <f>IF(B339="","",IF(E339="已暴露","DEV_REG_ONLY","ANY"))</f>
        <v/>
      </c>
    </row>
    <row r="340">
      <c r="A340" s="20" t="n">
        <v>337</v>
      </c>
      <c r="B340" s="20" t="str"/>
      <c r="C340" s="20" t="str"/>
      <c r="D340" s="20" t="str"/>
      <c r="E340" s="20" t="str"/>
      <c r="F340" s="20" t="inlineStr">
        <is>
          <t>PENDING</t>
        </is>
      </c>
      <c r="G340" s="20" t="inlineStr">
        <is>
          <t>PENDING</t>
        </is>
      </c>
      <c r="H340" s="20" t="inlineStr">
        <is>
          <t>PENDING</t>
        </is>
      </c>
      <c r="I340" s="20" t="inlineStr">
        <is>
          <t>PENDING</t>
        </is>
      </c>
      <c r="J340" s="20" t="inlineStr">
        <is>
          <t>PENDING</t>
        </is>
      </c>
      <c r="K340" s="20" t="inlineStr">
        <is>
          <t>待确认</t>
        </is>
      </c>
      <c r="L340" s="20">
        <f>IF(B340="","",IF(OR(F340="FAIL",K340="泄漏"),"DROP",IF(G340="FAIL","RELABEL",IF(OR(H340="FAIL",I340="FAIL",J340="FAIL"),"REWORK",IF(COUNTIF(F340:J340,"PENDING")&gt;0,"PENDING","REUSE")))))</f>
        <v/>
      </c>
      <c r="M340" s="20" t="inlineStr">
        <is>
          <t>PENDING</t>
        </is>
      </c>
      <c r="N340" s="20" t="str"/>
      <c r="O340" s="20" t="str"/>
      <c r="P340" s="20" t="str"/>
      <c r="Q340" s="20" t="inlineStr">
        <is>
          <t>待确认</t>
        </is>
      </c>
      <c r="R340" s="20" t="inlineStr">
        <is>
          <t>未开始</t>
        </is>
      </c>
      <c r="S340">
        <f>IF(B340="","",IF(E340="已暴露","DEV_REG_ONLY","ANY"))</f>
        <v/>
      </c>
    </row>
    <row r="341">
      <c r="A341" s="20" t="n">
        <v>338</v>
      </c>
      <c r="B341" s="20" t="str"/>
      <c r="C341" s="20" t="str"/>
      <c r="D341" s="20" t="str"/>
      <c r="E341" s="20" t="str"/>
      <c r="F341" s="20" t="inlineStr">
        <is>
          <t>PENDING</t>
        </is>
      </c>
      <c r="G341" s="20" t="inlineStr">
        <is>
          <t>PENDING</t>
        </is>
      </c>
      <c r="H341" s="20" t="inlineStr">
        <is>
          <t>PENDING</t>
        </is>
      </c>
      <c r="I341" s="20" t="inlineStr">
        <is>
          <t>PENDING</t>
        </is>
      </c>
      <c r="J341" s="20" t="inlineStr">
        <is>
          <t>PENDING</t>
        </is>
      </c>
      <c r="K341" s="20" t="inlineStr">
        <is>
          <t>待确认</t>
        </is>
      </c>
      <c r="L341" s="20">
        <f>IF(B341="","",IF(OR(F341="FAIL",K341="泄漏"),"DROP",IF(G341="FAIL","RELABEL",IF(OR(H341="FAIL",I341="FAIL",J341="FAIL"),"REWORK",IF(COUNTIF(F341:J341,"PENDING")&gt;0,"PENDING","REUSE")))))</f>
        <v/>
      </c>
      <c r="M341" s="20" t="inlineStr">
        <is>
          <t>PENDING</t>
        </is>
      </c>
      <c r="N341" s="20" t="str"/>
      <c r="O341" s="20" t="str"/>
      <c r="P341" s="20" t="str"/>
      <c r="Q341" s="20" t="inlineStr">
        <is>
          <t>待确认</t>
        </is>
      </c>
      <c r="R341" s="20" t="inlineStr">
        <is>
          <t>未开始</t>
        </is>
      </c>
      <c r="S341">
        <f>IF(B341="","",IF(E341="已暴露","DEV_REG_ONLY","ANY"))</f>
        <v/>
      </c>
    </row>
    <row r="342">
      <c r="A342" s="20" t="n">
        <v>339</v>
      </c>
      <c r="B342" s="20" t="str"/>
      <c r="C342" s="20" t="str"/>
      <c r="D342" s="20" t="str"/>
      <c r="E342" s="20" t="str"/>
      <c r="F342" s="20" t="inlineStr">
        <is>
          <t>PENDING</t>
        </is>
      </c>
      <c r="G342" s="20" t="inlineStr">
        <is>
          <t>PENDING</t>
        </is>
      </c>
      <c r="H342" s="20" t="inlineStr">
        <is>
          <t>PENDING</t>
        </is>
      </c>
      <c r="I342" s="20" t="inlineStr">
        <is>
          <t>PENDING</t>
        </is>
      </c>
      <c r="J342" s="20" t="inlineStr">
        <is>
          <t>PENDING</t>
        </is>
      </c>
      <c r="K342" s="20" t="inlineStr">
        <is>
          <t>待确认</t>
        </is>
      </c>
      <c r="L342" s="20">
        <f>IF(B342="","",IF(OR(F342="FAIL",K342="泄漏"),"DROP",IF(G342="FAIL","RELABEL",IF(OR(H342="FAIL",I342="FAIL",J342="FAIL"),"REWORK",IF(COUNTIF(F342:J342,"PENDING")&gt;0,"PENDING","REUSE")))))</f>
        <v/>
      </c>
      <c r="M342" s="20" t="inlineStr">
        <is>
          <t>PENDING</t>
        </is>
      </c>
      <c r="N342" s="20" t="str"/>
      <c r="O342" s="20" t="str"/>
      <c r="P342" s="20" t="str"/>
      <c r="Q342" s="20" t="inlineStr">
        <is>
          <t>待确认</t>
        </is>
      </c>
      <c r="R342" s="20" t="inlineStr">
        <is>
          <t>未开始</t>
        </is>
      </c>
      <c r="S342">
        <f>IF(B342="","",IF(E342="已暴露","DEV_REG_ONLY","ANY"))</f>
        <v/>
      </c>
    </row>
    <row r="343">
      <c r="A343" s="20" t="n">
        <v>340</v>
      </c>
      <c r="B343" s="20" t="str"/>
      <c r="C343" s="20" t="str"/>
      <c r="D343" s="20" t="str"/>
      <c r="E343" s="20" t="str"/>
      <c r="F343" s="20" t="inlineStr">
        <is>
          <t>PENDING</t>
        </is>
      </c>
      <c r="G343" s="20" t="inlineStr">
        <is>
          <t>PENDING</t>
        </is>
      </c>
      <c r="H343" s="20" t="inlineStr">
        <is>
          <t>PENDING</t>
        </is>
      </c>
      <c r="I343" s="20" t="inlineStr">
        <is>
          <t>PENDING</t>
        </is>
      </c>
      <c r="J343" s="20" t="inlineStr">
        <is>
          <t>PENDING</t>
        </is>
      </c>
      <c r="K343" s="20" t="inlineStr">
        <is>
          <t>待确认</t>
        </is>
      </c>
      <c r="L343" s="20">
        <f>IF(B343="","",IF(OR(F343="FAIL",K343="泄漏"),"DROP",IF(G343="FAIL","RELABEL",IF(OR(H343="FAIL",I343="FAIL",J343="FAIL"),"REWORK",IF(COUNTIF(F343:J343,"PENDING")&gt;0,"PENDING","REUSE")))))</f>
        <v/>
      </c>
      <c r="M343" s="20" t="inlineStr">
        <is>
          <t>PENDING</t>
        </is>
      </c>
      <c r="N343" s="20" t="str"/>
      <c r="O343" s="20" t="str"/>
      <c r="P343" s="20" t="str"/>
      <c r="Q343" s="20" t="inlineStr">
        <is>
          <t>待确认</t>
        </is>
      </c>
      <c r="R343" s="20" t="inlineStr">
        <is>
          <t>未开始</t>
        </is>
      </c>
      <c r="S343">
        <f>IF(B343="","",IF(E343="已暴露","DEV_REG_ONLY","ANY"))</f>
        <v/>
      </c>
    </row>
    <row r="344">
      <c r="A344" s="20" t="n">
        <v>341</v>
      </c>
      <c r="B344" s="20" t="str"/>
      <c r="C344" s="20" t="str"/>
      <c r="D344" s="20" t="str"/>
      <c r="E344" s="20" t="str"/>
      <c r="F344" s="20" t="inlineStr">
        <is>
          <t>PENDING</t>
        </is>
      </c>
      <c r="G344" s="20" t="inlineStr">
        <is>
          <t>PENDING</t>
        </is>
      </c>
      <c r="H344" s="20" t="inlineStr">
        <is>
          <t>PENDING</t>
        </is>
      </c>
      <c r="I344" s="20" t="inlineStr">
        <is>
          <t>PENDING</t>
        </is>
      </c>
      <c r="J344" s="20" t="inlineStr">
        <is>
          <t>PENDING</t>
        </is>
      </c>
      <c r="K344" s="20" t="inlineStr">
        <is>
          <t>待确认</t>
        </is>
      </c>
      <c r="L344" s="20">
        <f>IF(B344="","",IF(OR(F344="FAIL",K344="泄漏"),"DROP",IF(G344="FAIL","RELABEL",IF(OR(H344="FAIL",I344="FAIL",J344="FAIL"),"REWORK",IF(COUNTIF(F344:J344,"PENDING")&gt;0,"PENDING","REUSE")))))</f>
        <v/>
      </c>
      <c r="M344" s="20" t="inlineStr">
        <is>
          <t>PENDING</t>
        </is>
      </c>
      <c r="N344" s="20" t="str"/>
      <c r="O344" s="20" t="str"/>
      <c r="P344" s="20" t="str"/>
      <c r="Q344" s="20" t="inlineStr">
        <is>
          <t>待确认</t>
        </is>
      </c>
      <c r="R344" s="20" t="inlineStr">
        <is>
          <t>未开始</t>
        </is>
      </c>
      <c r="S344">
        <f>IF(B344="","",IF(E344="已暴露","DEV_REG_ONLY","ANY"))</f>
        <v/>
      </c>
    </row>
    <row r="345">
      <c r="A345" s="20" t="n">
        <v>342</v>
      </c>
      <c r="B345" s="20" t="str"/>
      <c r="C345" s="20" t="str"/>
      <c r="D345" s="20" t="str"/>
      <c r="E345" s="20" t="str"/>
      <c r="F345" s="20" t="inlineStr">
        <is>
          <t>PENDING</t>
        </is>
      </c>
      <c r="G345" s="20" t="inlineStr">
        <is>
          <t>PENDING</t>
        </is>
      </c>
      <c r="H345" s="20" t="inlineStr">
        <is>
          <t>PENDING</t>
        </is>
      </c>
      <c r="I345" s="20" t="inlineStr">
        <is>
          <t>PENDING</t>
        </is>
      </c>
      <c r="J345" s="20" t="inlineStr">
        <is>
          <t>PENDING</t>
        </is>
      </c>
      <c r="K345" s="20" t="inlineStr">
        <is>
          <t>待确认</t>
        </is>
      </c>
      <c r="L345" s="20">
        <f>IF(B345="","",IF(OR(F345="FAIL",K345="泄漏"),"DROP",IF(G345="FAIL","RELABEL",IF(OR(H345="FAIL",I345="FAIL",J345="FAIL"),"REWORK",IF(COUNTIF(F345:J345,"PENDING")&gt;0,"PENDING","REUSE")))))</f>
        <v/>
      </c>
      <c r="M345" s="20" t="inlineStr">
        <is>
          <t>PENDING</t>
        </is>
      </c>
      <c r="N345" s="20" t="str"/>
      <c r="O345" s="20" t="str"/>
      <c r="P345" s="20" t="str"/>
      <c r="Q345" s="20" t="inlineStr">
        <is>
          <t>待确认</t>
        </is>
      </c>
      <c r="R345" s="20" t="inlineStr">
        <is>
          <t>未开始</t>
        </is>
      </c>
      <c r="S345">
        <f>IF(B345="","",IF(E345="已暴露","DEV_REG_ONLY","ANY"))</f>
        <v/>
      </c>
    </row>
    <row r="346">
      <c r="A346" s="20" t="n">
        <v>343</v>
      </c>
      <c r="B346" s="20" t="str"/>
      <c r="C346" s="20" t="str"/>
      <c r="D346" s="20" t="str"/>
      <c r="E346" s="20" t="str"/>
      <c r="F346" s="20" t="inlineStr">
        <is>
          <t>PENDING</t>
        </is>
      </c>
      <c r="G346" s="20" t="inlineStr">
        <is>
          <t>PENDING</t>
        </is>
      </c>
      <c r="H346" s="20" t="inlineStr">
        <is>
          <t>PENDING</t>
        </is>
      </c>
      <c r="I346" s="20" t="inlineStr">
        <is>
          <t>PENDING</t>
        </is>
      </c>
      <c r="J346" s="20" t="inlineStr">
        <is>
          <t>PENDING</t>
        </is>
      </c>
      <c r="K346" s="20" t="inlineStr">
        <is>
          <t>待确认</t>
        </is>
      </c>
      <c r="L346" s="20">
        <f>IF(B346="","",IF(OR(F346="FAIL",K346="泄漏"),"DROP",IF(G346="FAIL","RELABEL",IF(OR(H346="FAIL",I346="FAIL",J346="FAIL"),"REWORK",IF(COUNTIF(F346:J346,"PENDING")&gt;0,"PENDING","REUSE")))))</f>
        <v/>
      </c>
      <c r="M346" s="20" t="inlineStr">
        <is>
          <t>PENDING</t>
        </is>
      </c>
      <c r="N346" s="20" t="str"/>
      <c r="O346" s="20" t="str"/>
      <c r="P346" s="20" t="str"/>
      <c r="Q346" s="20" t="inlineStr">
        <is>
          <t>待确认</t>
        </is>
      </c>
      <c r="R346" s="20" t="inlineStr">
        <is>
          <t>未开始</t>
        </is>
      </c>
      <c r="S346">
        <f>IF(B346="","",IF(E346="已暴露","DEV_REG_ONLY","ANY"))</f>
        <v/>
      </c>
    </row>
    <row r="347">
      <c r="A347" s="20" t="n">
        <v>344</v>
      </c>
      <c r="B347" s="20" t="str"/>
      <c r="C347" s="20" t="str"/>
      <c r="D347" s="20" t="str"/>
      <c r="E347" s="20" t="str"/>
      <c r="F347" s="20" t="inlineStr">
        <is>
          <t>PENDING</t>
        </is>
      </c>
      <c r="G347" s="20" t="inlineStr">
        <is>
          <t>PENDING</t>
        </is>
      </c>
      <c r="H347" s="20" t="inlineStr">
        <is>
          <t>PENDING</t>
        </is>
      </c>
      <c r="I347" s="20" t="inlineStr">
        <is>
          <t>PENDING</t>
        </is>
      </c>
      <c r="J347" s="20" t="inlineStr">
        <is>
          <t>PENDING</t>
        </is>
      </c>
      <c r="K347" s="20" t="inlineStr">
        <is>
          <t>待确认</t>
        </is>
      </c>
      <c r="L347" s="20">
        <f>IF(B347="","",IF(OR(F347="FAIL",K347="泄漏"),"DROP",IF(G347="FAIL","RELABEL",IF(OR(H347="FAIL",I347="FAIL",J347="FAIL"),"REWORK",IF(COUNTIF(F347:J347,"PENDING")&gt;0,"PENDING","REUSE")))))</f>
        <v/>
      </c>
      <c r="M347" s="20" t="inlineStr">
        <is>
          <t>PENDING</t>
        </is>
      </c>
      <c r="N347" s="20" t="str"/>
      <c r="O347" s="20" t="str"/>
      <c r="P347" s="20" t="str"/>
      <c r="Q347" s="20" t="inlineStr">
        <is>
          <t>待确认</t>
        </is>
      </c>
      <c r="R347" s="20" t="inlineStr">
        <is>
          <t>未开始</t>
        </is>
      </c>
      <c r="S347">
        <f>IF(B347="","",IF(E347="已暴露","DEV_REG_ONLY","ANY"))</f>
        <v/>
      </c>
    </row>
    <row r="348">
      <c r="A348" s="20" t="n">
        <v>345</v>
      </c>
      <c r="B348" s="20" t="str"/>
      <c r="C348" s="20" t="str"/>
      <c r="D348" s="20" t="str"/>
      <c r="E348" s="20" t="str"/>
      <c r="F348" s="20" t="inlineStr">
        <is>
          <t>PENDING</t>
        </is>
      </c>
      <c r="G348" s="20" t="inlineStr">
        <is>
          <t>PENDING</t>
        </is>
      </c>
      <c r="H348" s="20" t="inlineStr">
        <is>
          <t>PENDING</t>
        </is>
      </c>
      <c r="I348" s="20" t="inlineStr">
        <is>
          <t>PENDING</t>
        </is>
      </c>
      <c r="J348" s="20" t="inlineStr">
        <is>
          <t>PENDING</t>
        </is>
      </c>
      <c r="K348" s="20" t="inlineStr">
        <is>
          <t>待确认</t>
        </is>
      </c>
      <c r="L348" s="20">
        <f>IF(B348="","",IF(OR(F348="FAIL",K348="泄漏"),"DROP",IF(G348="FAIL","RELABEL",IF(OR(H348="FAIL",I348="FAIL",J348="FAIL"),"REWORK",IF(COUNTIF(F348:J348,"PENDING")&gt;0,"PENDING","REUSE")))))</f>
        <v/>
      </c>
      <c r="M348" s="20" t="inlineStr">
        <is>
          <t>PENDING</t>
        </is>
      </c>
      <c r="N348" s="20" t="str"/>
      <c r="O348" s="20" t="str"/>
      <c r="P348" s="20" t="str"/>
      <c r="Q348" s="20" t="inlineStr">
        <is>
          <t>待确认</t>
        </is>
      </c>
      <c r="R348" s="20" t="inlineStr">
        <is>
          <t>未开始</t>
        </is>
      </c>
      <c r="S348">
        <f>IF(B348="","",IF(E348="已暴露","DEV_REG_ONLY","ANY"))</f>
        <v/>
      </c>
    </row>
    <row r="349">
      <c r="A349" s="20" t="n">
        <v>346</v>
      </c>
      <c r="B349" s="20" t="str"/>
      <c r="C349" s="20" t="str"/>
      <c r="D349" s="20" t="str"/>
      <c r="E349" s="20" t="str"/>
      <c r="F349" s="20" t="inlineStr">
        <is>
          <t>PENDING</t>
        </is>
      </c>
      <c r="G349" s="20" t="inlineStr">
        <is>
          <t>PENDING</t>
        </is>
      </c>
      <c r="H349" s="20" t="inlineStr">
        <is>
          <t>PENDING</t>
        </is>
      </c>
      <c r="I349" s="20" t="inlineStr">
        <is>
          <t>PENDING</t>
        </is>
      </c>
      <c r="J349" s="20" t="inlineStr">
        <is>
          <t>PENDING</t>
        </is>
      </c>
      <c r="K349" s="20" t="inlineStr">
        <is>
          <t>待确认</t>
        </is>
      </c>
      <c r="L349" s="20">
        <f>IF(B349="","",IF(OR(F349="FAIL",K349="泄漏"),"DROP",IF(G349="FAIL","RELABEL",IF(OR(H349="FAIL",I349="FAIL",J349="FAIL"),"REWORK",IF(COUNTIF(F349:J349,"PENDING")&gt;0,"PENDING","REUSE")))))</f>
        <v/>
      </c>
      <c r="M349" s="20" t="inlineStr">
        <is>
          <t>PENDING</t>
        </is>
      </c>
      <c r="N349" s="20" t="str"/>
      <c r="O349" s="20" t="str"/>
      <c r="P349" s="20" t="str"/>
      <c r="Q349" s="20" t="inlineStr">
        <is>
          <t>待确认</t>
        </is>
      </c>
      <c r="R349" s="20" t="inlineStr">
        <is>
          <t>未开始</t>
        </is>
      </c>
      <c r="S349">
        <f>IF(B349="","",IF(E349="已暴露","DEV_REG_ONLY","ANY"))</f>
        <v/>
      </c>
    </row>
    <row r="350">
      <c r="A350" s="20" t="n">
        <v>347</v>
      </c>
      <c r="B350" s="20" t="str"/>
      <c r="C350" s="20" t="str"/>
      <c r="D350" s="20" t="str"/>
      <c r="E350" s="20" t="str"/>
      <c r="F350" s="20" t="inlineStr">
        <is>
          <t>PENDING</t>
        </is>
      </c>
      <c r="G350" s="20" t="inlineStr">
        <is>
          <t>PENDING</t>
        </is>
      </c>
      <c r="H350" s="20" t="inlineStr">
        <is>
          <t>PENDING</t>
        </is>
      </c>
      <c r="I350" s="20" t="inlineStr">
        <is>
          <t>PENDING</t>
        </is>
      </c>
      <c r="J350" s="20" t="inlineStr">
        <is>
          <t>PENDING</t>
        </is>
      </c>
      <c r="K350" s="20" t="inlineStr">
        <is>
          <t>待确认</t>
        </is>
      </c>
      <c r="L350" s="20">
        <f>IF(B350="","",IF(OR(F350="FAIL",K350="泄漏"),"DROP",IF(G350="FAIL","RELABEL",IF(OR(H350="FAIL",I350="FAIL",J350="FAIL"),"REWORK",IF(COUNTIF(F350:J350,"PENDING")&gt;0,"PENDING","REUSE")))))</f>
        <v/>
      </c>
      <c r="M350" s="20" t="inlineStr">
        <is>
          <t>PENDING</t>
        </is>
      </c>
      <c r="N350" s="20" t="str"/>
      <c r="O350" s="20" t="str"/>
      <c r="P350" s="20" t="str"/>
      <c r="Q350" s="20" t="inlineStr">
        <is>
          <t>待确认</t>
        </is>
      </c>
      <c r="R350" s="20" t="inlineStr">
        <is>
          <t>未开始</t>
        </is>
      </c>
      <c r="S350">
        <f>IF(B350="","",IF(E350="已暴露","DEV_REG_ONLY","ANY"))</f>
        <v/>
      </c>
    </row>
    <row r="351">
      <c r="A351" s="20" t="n">
        <v>348</v>
      </c>
      <c r="B351" s="20" t="str"/>
      <c r="C351" s="20" t="str"/>
      <c r="D351" s="20" t="str"/>
      <c r="E351" s="20" t="str"/>
      <c r="F351" s="20" t="inlineStr">
        <is>
          <t>PENDING</t>
        </is>
      </c>
      <c r="G351" s="20" t="inlineStr">
        <is>
          <t>PENDING</t>
        </is>
      </c>
      <c r="H351" s="20" t="inlineStr">
        <is>
          <t>PENDING</t>
        </is>
      </c>
      <c r="I351" s="20" t="inlineStr">
        <is>
          <t>PENDING</t>
        </is>
      </c>
      <c r="J351" s="20" t="inlineStr">
        <is>
          <t>PENDING</t>
        </is>
      </c>
      <c r="K351" s="20" t="inlineStr">
        <is>
          <t>待确认</t>
        </is>
      </c>
      <c r="L351" s="20">
        <f>IF(B351="","",IF(OR(F351="FAIL",K351="泄漏"),"DROP",IF(G351="FAIL","RELABEL",IF(OR(H351="FAIL",I351="FAIL",J351="FAIL"),"REWORK",IF(COUNTIF(F351:J351,"PENDING")&gt;0,"PENDING","REUSE")))))</f>
        <v/>
      </c>
      <c r="M351" s="20" t="inlineStr">
        <is>
          <t>PENDING</t>
        </is>
      </c>
      <c r="N351" s="20" t="str"/>
      <c r="O351" s="20" t="str"/>
      <c r="P351" s="20" t="str"/>
      <c r="Q351" s="20" t="inlineStr">
        <is>
          <t>待确认</t>
        </is>
      </c>
      <c r="R351" s="20" t="inlineStr">
        <is>
          <t>未开始</t>
        </is>
      </c>
      <c r="S351">
        <f>IF(B351="","",IF(E351="已暴露","DEV_REG_ONLY","ANY"))</f>
        <v/>
      </c>
    </row>
    <row r="352">
      <c r="A352" s="20" t="n">
        <v>349</v>
      </c>
      <c r="B352" s="20" t="str"/>
      <c r="C352" s="20" t="str"/>
      <c r="D352" s="20" t="str"/>
      <c r="E352" s="20" t="str"/>
      <c r="F352" s="20" t="inlineStr">
        <is>
          <t>PENDING</t>
        </is>
      </c>
      <c r="G352" s="20" t="inlineStr">
        <is>
          <t>PENDING</t>
        </is>
      </c>
      <c r="H352" s="20" t="inlineStr">
        <is>
          <t>PENDING</t>
        </is>
      </c>
      <c r="I352" s="20" t="inlineStr">
        <is>
          <t>PENDING</t>
        </is>
      </c>
      <c r="J352" s="20" t="inlineStr">
        <is>
          <t>PENDING</t>
        </is>
      </c>
      <c r="K352" s="20" t="inlineStr">
        <is>
          <t>待确认</t>
        </is>
      </c>
      <c r="L352" s="20">
        <f>IF(B352="","",IF(OR(F352="FAIL",K352="泄漏"),"DROP",IF(G352="FAIL","RELABEL",IF(OR(H352="FAIL",I352="FAIL",J352="FAIL"),"REWORK",IF(COUNTIF(F352:J352,"PENDING")&gt;0,"PENDING","REUSE")))))</f>
        <v/>
      </c>
      <c r="M352" s="20" t="inlineStr">
        <is>
          <t>PENDING</t>
        </is>
      </c>
      <c r="N352" s="20" t="str"/>
      <c r="O352" s="20" t="str"/>
      <c r="P352" s="20" t="str"/>
      <c r="Q352" s="20" t="inlineStr">
        <is>
          <t>待确认</t>
        </is>
      </c>
      <c r="R352" s="20" t="inlineStr">
        <is>
          <t>未开始</t>
        </is>
      </c>
      <c r="S352">
        <f>IF(B352="","",IF(E352="已暴露","DEV_REG_ONLY","ANY"))</f>
        <v/>
      </c>
    </row>
    <row r="353">
      <c r="A353" s="20" t="n">
        <v>350</v>
      </c>
      <c r="B353" s="20" t="str"/>
      <c r="C353" s="20" t="str"/>
      <c r="D353" s="20" t="str"/>
      <c r="E353" s="20" t="str"/>
      <c r="F353" s="20" t="inlineStr">
        <is>
          <t>PENDING</t>
        </is>
      </c>
      <c r="G353" s="20" t="inlineStr">
        <is>
          <t>PENDING</t>
        </is>
      </c>
      <c r="H353" s="20" t="inlineStr">
        <is>
          <t>PENDING</t>
        </is>
      </c>
      <c r="I353" s="20" t="inlineStr">
        <is>
          <t>PENDING</t>
        </is>
      </c>
      <c r="J353" s="20" t="inlineStr">
        <is>
          <t>PENDING</t>
        </is>
      </c>
      <c r="K353" s="20" t="inlineStr">
        <is>
          <t>待确认</t>
        </is>
      </c>
      <c r="L353" s="20">
        <f>IF(B353="","",IF(OR(F353="FAIL",K353="泄漏"),"DROP",IF(G353="FAIL","RELABEL",IF(OR(H353="FAIL",I353="FAIL",J353="FAIL"),"REWORK",IF(COUNTIF(F353:J353,"PENDING")&gt;0,"PENDING","REUSE")))))</f>
        <v/>
      </c>
      <c r="M353" s="20" t="inlineStr">
        <is>
          <t>PENDING</t>
        </is>
      </c>
      <c r="N353" s="20" t="str"/>
      <c r="O353" s="20" t="str"/>
      <c r="P353" s="20" t="str"/>
      <c r="Q353" s="20" t="inlineStr">
        <is>
          <t>待确认</t>
        </is>
      </c>
      <c r="R353" s="20" t="inlineStr">
        <is>
          <t>未开始</t>
        </is>
      </c>
      <c r="S353">
        <f>IF(B353="","",IF(E353="已暴露","DEV_REG_ONLY","ANY"))</f>
        <v/>
      </c>
    </row>
    <row r="354">
      <c r="A354" s="20" t="n">
        <v>351</v>
      </c>
      <c r="B354" s="20" t="str"/>
      <c r="C354" s="20" t="str"/>
      <c r="D354" s="20" t="str"/>
      <c r="E354" s="20" t="str"/>
      <c r="F354" s="20" t="inlineStr">
        <is>
          <t>PENDING</t>
        </is>
      </c>
      <c r="G354" s="20" t="inlineStr">
        <is>
          <t>PENDING</t>
        </is>
      </c>
      <c r="H354" s="20" t="inlineStr">
        <is>
          <t>PENDING</t>
        </is>
      </c>
      <c r="I354" s="20" t="inlineStr">
        <is>
          <t>PENDING</t>
        </is>
      </c>
      <c r="J354" s="20" t="inlineStr">
        <is>
          <t>PENDING</t>
        </is>
      </c>
      <c r="K354" s="20" t="inlineStr">
        <is>
          <t>待确认</t>
        </is>
      </c>
      <c r="L354" s="20">
        <f>IF(B354="","",IF(OR(F354="FAIL",K354="泄漏"),"DROP",IF(G354="FAIL","RELABEL",IF(OR(H354="FAIL",I354="FAIL",J354="FAIL"),"REWORK",IF(COUNTIF(F354:J354,"PENDING")&gt;0,"PENDING","REUSE")))))</f>
        <v/>
      </c>
      <c r="M354" s="20" t="inlineStr">
        <is>
          <t>PENDING</t>
        </is>
      </c>
      <c r="N354" s="20" t="str"/>
      <c r="O354" s="20" t="str"/>
      <c r="P354" s="20" t="str"/>
      <c r="Q354" s="20" t="inlineStr">
        <is>
          <t>待确认</t>
        </is>
      </c>
      <c r="R354" s="20" t="inlineStr">
        <is>
          <t>未开始</t>
        </is>
      </c>
      <c r="S354">
        <f>IF(B354="","",IF(E354="已暴露","DEV_REG_ONLY","ANY"))</f>
        <v/>
      </c>
    </row>
    <row r="355">
      <c r="A355" s="20" t="n">
        <v>352</v>
      </c>
      <c r="B355" s="20" t="str"/>
      <c r="C355" s="20" t="str"/>
      <c r="D355" s="20" t="str"/>
      <c r="E355" s="20" t="str"/>
      <c r="F355" s="20" t="inlineStr">
        <is>
          <t>PENDING</t>
        </is>
      </c>
      <c r="G355" s="20" t="inlineStr">
        <is>
          <t>PENDING</t>
        </is>
      </c>
      <c r="H355" s="20" t="inlineStr">
        <is>
          <t>PENDING</t>
        </is>
      </c>
      <c r="I355" s="20" t="inlineStr">
        <is>
          <t>PENDING</t>
        </is>
      </c>
      <c r="J355" s="20" t="inlineStr">
        <is>
          <t>PENDING</t>
        </is>
      </c>
      <c r="K355" s="20" t="inlineStr">
        <is>
          <t>待确认</t>
        </is>
      </c>
      <c r="L355" s="20">
        <f>IF(B355="","",IF(OR(F355="FAIL",K355="泄漏"),"DROP",IF(G355="FAIL","RELABEL",IF(OR(H355="FAIL",I355="FAIL",J355="FAIL"),"REWORK",IF(COUNTIF(F355:J355,"PENDING")&gt;0,"PENDING","REUSE")))))</f>
        <v/>
      </c>
      <c r="M355" s="20" t="inlineStr">
        <is>
          <t>PENDING</t>
        </is>
      </c>
      <c r="N355" s="20" t="str"/>
      <c r="O355" s="20" t="str"/>
      <c r="P355" s="20" t="str"/>
      <c r="Q355" s="20" t="inlineStr">
        <is>
          <t>待确认</t>
        </is>
      </c>
      <c r="R355" s="20" t="inlineStr">
        <is>
          <t>未开始</t>
        </is>
      </c>
      <c r="S355">
        <f>IF(B355="","",IF(E355="已暴露","DEV_REG_ONLY","ANY"))</f>
        <v/>
      </c>
    </row>
    <row r="356">
      <c r="A356" s="20" t="n">
        <v>353</v>
      </c>
      <c r="B356" s="20" t="str"/>
      <c r="C356" s="20" t="str"/>
      <c r="D356" s="20" t="str"/>
      <c r="E356" s="20" t="str"/>
      <c r="F356" s="20" t="inlineStr">
        <is>
          <t>PENDING</t>
        </is>
      </c>
      <c r="G356" s="20" t="inlineStr">
        <is>
          <t>PENDING</t>
        </is>
      </c>
      <c r="H356" s="20" t="inlineStr">
        <is>
          <t>PENDING</t>
        </is>
      </c>
      <c r="I356" s="20" t="inlineStr">
        <is>
          <t>PENDING</t>
        </is>
      </c>
      <c r="J356" s="20" t="inlineStr">
        <is>
          <t>PENDING</t>
        </is>
      </c>
      <c r="K356" s="20" t="inlineStr">
        <is>
          <t>待确认</t>
        </is>
      </c>
      <c r="L356" s="20">
        <f>IF(B356="","",IF(OR(F356="FAIL",K356="泄漏"),"DROP",IF(G356="FAIL","RELABEL",IF(OR(H356="FAIL",I356="FAIL",J356="FAIL"),"REWORK",IF(COUNTIF(F356:J356,"PENDING")&gt;0,"PENDING","REUSE")))))</f>
        <v/>
      </c>
      <c r="M356" s="20" t="inlineStr">
        <is>
          <t>PENDING</t>
        </is>
      </c>
      <c r="N356" s="20" t="str"/>
      <c r="O356" s="20" t="str"/>
      <c r="P356" s="20" t="str"/>
      <c r="Q356" s="20" t="inlineStr">
        <is>
          <t>待确认</t>
        </is>
      </c>
      <c r="R356" s="20" t="inlineStr">
        <is>
          <t>未开始</t>
        </is>
      </c>
      <c r="S356">
        <f>IF(B356="","",IF(E356="已暴露","DEV_REG_ONLY","ANY"))</f>
        <v/>
      </c>
    </row>
    <row r="357">
      <c r="A357" s="20" t="n">
        <v>354</v>
      </c>
      <c r="B357" s="20" t="str"/>
      <c r="C357" s="20" t="str"/>
      <c r="D357" s="20" t="str"/>
      <c r="E357" s="20" t="str"/>
      <c r="F357" s="20" t="inlineStr">
        <is>
          <t>PENDING</t>
        </is>
      </c>
      <c r="G357" s="20" t="inlineStr">
        <is>
          <t>PENDING</t>
        </is>
      </c>
      <c r="H357" s="20" t="inlineStr">
        <is>
          <t>PENDING</t>
        </is>
      </c>
      <c r="I357" s="20" t="inlineStr">
        <is>
          <t>PENDING</t>
        </is>
      </c>
      <c r="J357" s="20" t="inlineStr">
        <is>
          <t>PENDING</t>
        </is>
      </c>
      <c r="K357" s="20" t="inlineStr">
        <is>
          <t>待确认</t>
        </is>
      </c>
      <c r="L357" s="20">
        <f>IF(B357="","",IF(OR(F357="FAIL",K357="泄漏"),"DROP",IF(G357="FAIL","RELABEL",IF(OR(H357="FAIL",I357="FAIL",J357="FAIL"),"REWORK",IF(COUNTIF(F357:J357,"PENDING")&gt;0,"PENDING","REUSE")))))</f>
        <v/>
      </c>
      <c r="M357" s="20" t="inlineStr">
        <is>
          <t>PENDING</t>
        </is>
      </c>
      <c r="N357" s="20" t="str"/>
      <c r="O357" s="20" t="str"/>
      <c r="P357" s="20" t="str"/>
      <c r="Q357" s="20" t="inlineStr">
        <is>
          <t>待确认</t>
        </is>
      </c>
      <c r="R357" s="20" t="inlineStr">
        <is>
          <t>未开始</t>
        </is>
      </c>
      <c r="S357">
        <f>IF(B357="","",IF(E357="已暴露","DEV_REG_ONLY","ANY"))</f>
        <v/>
      </c>
    </row>
    <row r="358">
      <c r="A358" s="20" t="n">
        <v>355</v>
      </c>
      <c r="B358" s="20" t="str"/>
      <c r="C358" s="20" t="str"/>
      <c r="D358" s="20" t="str"/>
      <c r="E358" s="20" t="str"/>
      <c r="F358" s="20" t="inlineStr">
        <is>
          <t>PENDING</t>
        </is>
      </c>
      <c r="G358" s="20" t="inlineStr">
        <is>
          <t>PENDING</t>
        </is>
      </c>
      <c r="H358" s="20" t="inlineStr">
        <is>
          <t>PENDING</t>
        </is>
      </c>
      <c r="I358" s="20" t="inlineStr">
        <is>
          <t>PENDING</t>
        </is>
      </c>
      <c r="J358" s="20" t="inlineStr">
        <is>
          <t>PENDING</t>
        </is>
      </c>
      <c r="K358" s="20" t="inlineStr">
        <is>
          <t>待确认</t>
        </is>
      </c>
      <c r="L358" s="20">
        <f>IF(B358="","",IF(OR(F358="FAIL",K358="泄漏"),"DROP",IF(G358="FAIL","RELABEL",IF(OR(H358="FAIL",I358="FAIL",J358="FAIL"),"REWORK",IF(COUNTIF(F358:J358,"PENDING")&gt;0,"PENDING","REUSE")))))</f>
        <v/>
      </c>
      <c r="M358" s="20" t="inlineStr">
        <is>
          <t>PENDING</t>
        </is>
      </c>
      <c r="N358" s="20" t="str"/>
      <c r="O358" s="20" t="str"/>
      <c r="P358" s="20" t="str"/>
      <c r="Q358" s="20" t="inlineStr">
        <is>
          <t>待确认</t>
        </is>
      </c>
      <c r="R358" s="20" t="inlineStr">
        <is>
          <t>未开始</t>
        </is>
      </c>
      <c r="S358">
        <f>IF(B358="","",IF(E358="已暴露","DEV_REG_ONLY","ANY"))</f>
        <v/>
      </c>
    </row>
    <row r="359">
      <c r="A359" s="20" t="n">
        <v>356</v>
      </c>
      <c r="B359" s="20" t="str"/>
      <c r="C359" s="20" t="str"/>
      <c r="D359" s="20" t="str"/>
      <c r="E359" s="20" t="str"/>
      <c r="F359" s="20" t="inlineStr">
        <is>
          <t>PENDING</t>
        </is>
      </c>
      <c r="G359" s="20" t="inlineStr">
        <is>
          <t>PENDING</t>
        </is>
      </c>
      <c r="H359" s="20" t="inlineStr">
        <is>
          <t>PENDING</t>
        </is>
      </c>
      <c r="I359" s="20" t="inlineStr">
        <is>
          <t>PENDING</t>
        </is>
      </c>
      <c r="J359" s="20" t="inlineStr">
        <is>
          <t>PENDING</t>
        </is>
      </c>
      <c r="K359" s="20" t="inlineStr">
        <is>
          <t>待确认</t>
        </is>
      </c>
      <c r="L359" s="20">
        <f>IF(B359="","",IF(OR(F359="FAIL",K359="泄漏"),"DROP",IF(G359="FAIL","RELABEL",IF(OR(H359="FAIL",I359="FAIL",J359="FAIL"),"REWORK",IF(COUNTIF(F359:J359,"PENDING")&gt;0,"PENDING","REUSE")))))</f>
        <v/>
      </c>
      <c r="M359" s="20" t="inlineStr">
        <is>
          <t>PENDING</t>
        </is>
      </c>
      <c r="N359" s="20" t="str"/>
      <c r="O359" s="20" t="str"/>
      <c r="P359" s="20" t="str"/>
      <c r="Q359" s="20" t="inlineStr">
        <is>
          <t>待确认</t>
        </is>
      </c>
      <c r="R359" s="20" t="inlineStr">
        <is>
          <t>未开始</t>
        </is>
      </c>
      <c r="S359">
        <f>IF(B359="","",IF(E359="已暴露","DEV_REG_ONLY","ANY"))</f>
        <v/>
      </c>
    </row>
    <row r="360">
      <c r="A360" s="20" t="n">
        <v>357</v>
      </c>
      <c r="B360" s="20" t="str"/>
      <c r="C360" s="20" t="str"/>
      <c r="D360" s="20" t="str"/>
      <c r="E360" s="20" t="str"/>
      <c r="F360" s="20" t="inlineStr">
        <is>
          <t>PENDING</t>
        </is>
      </c>
      <c r="G360" s="20" t="inlineStr">
        <is>
          <t>PENDING</t>
        </is>
      </c>
      <c r="H360" s="20" t="inlineStr">
        <is>
          <t>PENDING</t>
        </is>
      </c>
      <c r="I360" s="20" t="inlineStr">
        <is>
          <t>PENDING</t>
        </is>
      </c>
      <c r="J360" s="20" t="inlineStr">
        <is>
          <t>PENDING</t>
        </is>
      </c>
      <c r="K360" s="20" t="inlineStr">
        <is>
          <t>待确认</t>
        </is>
      </c>
      <c r="L360" s="20">
        <f>IF(B360="","",IF(OR(F360="FAIL",K360="泄漏"),"DROP",IF(G360="FAIL","RELABEL",IF(OR(H360="FAIL",I360="FAIL",J360="FAIL"),"REWORK",IF(COUNTIF(F360:J360,"PENDING")&gt;0,"PENDING","REUSE")))))</f>
        <v/>
      </c>
      <c r="M360" s="20" t="inlineStr">
        <is>
          <t>PENDING</t>
        </is>
      </c>
      <c r="N360" s="20" t="str"/>
      <c r="O360" s="20" t="str"/>
      <c r="P360" s="20" t="str"/>
      <c r="Q360" s="20" t="inlineStr">
        <is>
          <t>待确认</t>
        </is>
      </c>
      <c r="R360" s="20" t="inlineStr">
        <is>
          <t>未开始</t>
        </is>
      </c>
      <c r="S360">
        <f>IF(B360="","",IF(E360="已暴露","DEV_REG_ONLY","ANY"))</f>
        <v/>
      </c>
    </row>
    <row r="361">
      <c r="A361" s="20" t="n">
        <v>358</v>
      </c>
      <c r="B361" s="20" t="str"/>
      <c r="C361" s="20" t="str"/>
      <c r="D361" s="20" t="str"/>
      <c r="E361" s="20" t="str"/>
      <c r="F361" s="20" t="inlineStr">
        <is>
          <t>PENDING</t>
        </is>
      </c>
      <c r="G361" s="20" t="inlineStr">
        <is>
          <t>PENDING</t>
        </is>
      </c>
      <c r="H361" s="20" t="inlineStr">
        <is>
          <t>PENDING</t>
        </is>
      </c>
      <c r="I361" s="20" t="inlineStr">
        <is>
          <t>PENDING</t>
        </is>
      </c>
      <c r="J361" s="20" t="inlineStr">
        <is>
          <t>PENDING</t>
        </is>
      </c>
      <c r="K361" s="20" t="inlineStr">
        <is>
          <t>待确认</t>
        </is>
      </c>
      <c r="L361" s="20">
        <f>IF(B361="","",IF(OR(F361="FAIL",K361="泄漏"),"DROP",IF(G361="FAIL","RELABEL",IF(OR(H361="FAIL",I361="FAIL",J361="FAIL"),"REWORK",IF(COUNTIF(F361:J361,"PENDING")&gt;0,"PENDING","REUSE")))))</f>
        <v/>
      </c>
      <c r="M361" s="20" t="inlineStr">
        <is>
          <t>PENDING</t>
        </is>
      </c>
      <c r="N361" s="20" t="str"/>
      <c r="O361" s="20" t="str"/>
      <c r="P361" s="20" t="str"/>
      <c r="Q361" s="20" t="inlineStr">
        <is>
          <t>待确认</t>
        </is>
      </c>
      <c r="R361" s="20" t="inlineStr">
        <is>
          <t>未开始</t>
        </is>
      </c>
      <c r="S361">
        <f>IF(B361="","",IF(E361="已暴露","DEV_REG_ONLY","ANY"))</f>
        <v/>
      </c>
    </row>
    <row r="362">
      <c r="A362" s="20" t="n">
        <v>359</v>
      </c>
      <c r="B362" s="20" t="str"/>
      <c r="C362" s="20" t="str"/>
      <c r="D362" s="20" t="str"/>
      <c r="E362" s="20" t="str"/>
      <c r="F362" s="20" t="inlineStr">
        <is>
          <t>PENDING</t>
        </is>
      </c>
      <c r="G362" s="20" t="inlineStr">
        <is>
          <t>PENDING</t>
        </is>
      </c>
      <c r="H362" s="20" t="inlineStr">
        <is>
          <t>PENDING</t>
        </is>
      </c>
      <c r="I362" s="20" t="inlineStr">
        <is>
          <t>PENDING</t>
        </is>
      </c>
      <c r="J362" s="20" t="inlineStr">
        <is>
          <t>PENDING</t>
        </is>
      </c>
      <c r="K362" s="20" t="inlineStr">
        <is>
          <t>待确认</t>
        </is>
      </c>
      <c r="L362" s="20">
        <f>IF(B362="","",IF(OR(F362="FAIL",K362="泄漏"),"DROP",IF(G362="FAIL","RELABEL",IF(OR(H362="FAIL",I362="FAIL",J362="FAIL"),"REWORK",IF(COUNTIF(F362:J362,"PENDING")&gt;0,"PENDING","REUSE")))))</f>
        <v/>
      </c>
      <c r="M362" s="20" t="inlineStr">
        <is>
          <t>PENDING</t>
        </is>
      </c>
      <c r="N362" s="20" t="str"/>
      <c r="O362" s="20" t="str"/>
      <c r="P362" s="20" t="str"/>
      <c r="Q362" s="20" t="inlineStr">
        <is>
          <t>待确认</t>
        </is>
      </c>
      <c r="R362" s="20" t="inlineStr">
        <is>
          <t>未开始</t>
        </is>
      </c>
      <c r="S362">
        <f>IF(B362="","",IF(E362="已暴露","DEV_REG_ONLY","ANY"))</f>
        <v/>
      </c>
    </row>
    <row r="363">
      <c r="A363" s="20" t="n">
        <v>360</v>
      </c>
      <c r="B363" s="20" t="str"/>
      <c r="C363" s="20" t="str"/>
      <c r="D363" s="20" t="str"/>
      <c r="E363" s="20" t="str"/>
      <c r="F363" s="20" t="inlineStr">
        <is>
          <t>PENDING</t>
        </is>
      </c>
      <c r="G363" s="20" t="inlineStr">
        <is>
          <t>PENDING</t>
        </is>
      </c>
      <c r="H363" s="20" t="inlineStr">
        <is>
          <t>PENDING</t>
        </is>
      </c>
      <c r="I363" s="20" t="inlineStr">
        <is>
          <t>PENDING</t>
        </is>
      </c>
      <c r="J363" s="20" t="inlineStr">
        <is>
          <t>PENDING</t>
        </is>
      </c>
      <c r="K363" s="20" t="inlineStr">
        <is>
          <t>待确认</t>
        </is>
      </c>
      <c r="L363" s="20">
        <f>IF(B363="","",IF(OR(F363="FAIL",K363="泄漏"),"DROP",IF(G363="FAIL","RELABEL",IF(OR(H363="FAIL",I363="FAIL",J363="FAIL"),"REWORK",IF(COUNTIF(F363:J363,"PENDING")&gt;0,"PENDING","REUSE")))))</f>
        <v/>
      </c>
      <c r="M363" s="20" t="inlineStr">
        <is>
          <t>PENDING</t>
        </is>
      </c>
      <c r="N363" s="20" t="str"/>
      <c r="O363" s="20" t="str"/>
      <c r="P363" s="20" t="str"/>
      <c r="Q363" s="20" t="inlineStr">
        <is>
          <t>待确认</t>
        </is>
      </c>
      <c r="R363" s="20" t="inlineStr">
        <is>
          <t>未开始</t>
        </is>
      </c>
      <c r="S363">
        <f>IF(B363="","",IF(E363="已暴露","DEV_REG_ONLY","ANY"))</f>
        <v/>
      </c>
    </row>
    <row r="364">
      <c r="A364" s="20" t="n">
        <v>361</v>
      </c>
      <c r="B364" s="20" t="str"/>
      <c r="C364" s="20" t="str"/>
      <c r="D364" s="20" t="str"/>
      <c r="E364" s="20" t="str"/>
      <c r="F364" s="20" t="inlineStr">
        <is>
          <t>PENDING</t>
        </is>
      </c>
      <c r="G364" s="20" t="inlineStr">
        <is>
          <t>PENDING</t>
        </is>
      </c>
      <c r="H364" s="20" t="inlineStr">
        <is>
          <t>PENDING</t>
        </is>
      </c>
      <c r="I364" s="20" t="inlineStr">
        <is>
          <t>PENDING</t>
        </is>
      </c>
      <c r="J364" s="20" t="inlineStr">
        <is>
          <t>PENDING</t>
        </is>
      </c>
      <c r="K364" s="20" t="inlineStr">
        <is>
          <t>待确认</t>
        </is>
      </c>
      <c r="L364" s="20">
        <f>IF(B364="","",IF(OR(F364="FAIL",K364="泄漏"),"DROP",IF(G364="FAIL","RELABEL",IF(OR(H364="FAIL",I364="FAIL",J364="FAIL"),"REWORK",IF(COUNTIF(F364:J364,"PENDING")&gt;0,"PENDING","REUSE")))))</f>
        <v/>
      </c>
      <c r="M364" s="20" t="inlineStr">
        <is>
          <t>PENDING</t>
        </is>
      </c>
      <c r="N364" s="20" t="str"/>
      <c r="O364" s="20" t="str"/>
      <c r="P364" s="20" t="str"/>
      <c r="Q364" s="20" t="inlineStr">
        <is>
          <t>待确认</t>
        </is>
      </c>
      <c r="R364" s="20" t="inlineStr">
        <is>
          <t>未开始</t>
        </is>
      </c>
      <c r="S364">
        <f>IF(B364="","",IF(E364="已暴露","DEV_REG_ONLY","ANY"))</f>
        <v/>
      </c>
    </row>
    <row r="365">
      <c r="A365" s="20" t="n">
        <v>362</v>
      </c>
      <c r="B365" s="20" t="str"/>
      <c r="C365" s="20" t="str"/>
      <c r="D365" s="20" t="str"/>
      <c r="E365" s="20" t="str"/>
      <c r="F365" s="20" t="inlineStr">
        <is>
          <t>PENDING</t>
        </is>
      </c>
      <c r="G365" s="20" t="inlineStr">
        <is>
          <t>PENDING</t>
        </is>
      </c>
      <c r="H365" s="20" t="inlineStr">
        <is>
          <t>PENDING</t>
        </is>
      </c>
      <c r="I365" s="20" t="inlineStr">
        <is>
          <t>PENDING</t>
        </is>
      </c>
      <c r="J365" s="20" t="inlineStr">
        <is>
          <t>PENDING</t>
        </is>
      </c>
      <c r="K365" s="20" t="inlineStr">
        <is>
          <t>待确认</t>
        </is>
      </c>
      <c r="L365" s="20">
        <f>IF(B365="","",IF(OR(F365="FAIL",K365="泄漏"),"DROP",IF(G365="FAIL","RELABEL",IF(OR(H365="FAIL",I365="FAIL",J365="FAIL"),"REWORK",IF(COUNTIF(F365:J365,"PENDING")&gt;0,"PENDING","REUSE")))))</f>
        <v/>
      </c>
      <c r="M365" s="20" t="inlineStr">
        <is>
          <t>PENDING</t>
        </is>
      </c>
      <c r="N365" s="20" t="str"/>
      <c r="O365" s="20" t="str"/>
      <c r="P365" s="20" t="str"/>
      <c r="Q365" s="20" t="inlineStr">
        <is>
          <t>待确认</t>
        </is>
      </c>
      <c r="R365" s="20" t="inlineStr">
        <is>
          <t>未开始</t>
        </is>
      </c>
      <c r="S365">
        <f>IF(B365="","",IF(E365="已暴露","DEV_REG_ONLY","ANY"))</f>
        <v/>
      </c>
    </row>
    <row r="366">
      <c r="A366" s="20" t="n">
        <v>363</v>
      </c>
      <c r="B366" s="20" t="str"/>
      <c r="C366" s="20" t="str"/>
      <c r="D366" s="20" t="str"/>
      <c r="E366" s="20" t="str"/>
      <c r="F366" s="20" t="inlineStr">
        <is>
          <t>PENDING</t>
        </is>
      </c>
      <c r="G366" s="20" t="inlineStr">
        <is>
          <t>PENDING</t>
        </is>
      </c>
      <c r="H366" s="20" t="inlineStr">
        <is>
          <t>PENDING</t>
        </is>
      </c>
      <c r="I366" s="20" t="inlineStr">
        <is>
          <t>PENDING</t>
        </is>
      </c>
      <c r="J366" s="20" t="inlineStr">
        <is>
          <t>PENDING</t>
        </is>
      </c>
      <c r="K366" s="20" t="inlineStr">
        <is>
          <t>待确认</t>
        </is>
      </c>
      <c r="L366" s="20">
        <f>IF(B366="","",IF(OR(F366="FAIL",K366="泄漏"),"DROP",IF(G366="FAIL","RELABEL",IF(OR(H366="FAIL",I366="FAIL",J366="FAIL"),"REWORK",IF(COUNTIF(F366:J366,"PENDING")&gt;0,"PENDING","REUSE")))))</f>
        <v/>
      </c>
      <c r="M366" s="20" t="inlineStr">
        <is>
          <t>PENDING</t>
        </is>
      </c>
      <c r="N366" s="20" t="str"/>
      <c r="O366" s="20" t="str"/>
      <c r="P366" s="20" t="str"/>
      <c r="Q366" s="20" t="inlineStr">
        <is>
          <t>待确认</t>
        </is>
      </c>
      <c r="R366" s="20" t="inlineStr">
        <is>
          <t>未开始</t>
        </is>
      </c>
      <c r="S366">
        <f>IF(B366="","",IF(E366="已暴露","DEV_REG_ONLY","ANY"))</f>
        <v/>
      </c>
    </row>
    <row r="367">
      <c r="A367" s="20" t="n">
        <v>364</v>
      </c>
      <c r="B367" s="20" t="str"/>
      <c r="C367" s="20" t="str"/>
      <c r="D367" s="20" t="str"/>
      <c r="E367" s="20" t="str"/>
      <c r="F367" s="20" t="inlineStr">
        <is>
          <t>PENDING</t>
        </is>
      </c>
      <c r="G367" s="20" t="inlineStr">
        <is>
          <t>PENDING</t>
        </is>
      </c>
      <c r="H367" s="20" t="inlineStr">
        <is>
          <t>PENDING</t>
        </is>
      </c>
      <c r="I367" s="20" t="inlineStr">
        <is>
          <t>PENDING</t>
        </is>
      </c>
      <c r="J367" s="20" t="inlineStr">
        <is>
          <t>PENDING</t>
        </is>
      </c>
      <c r="K367" s="20" t="inlineStr">
        <is>
          <t>待确认</t>
        </is>
      </c>
      <c r="L367" s="20">
        <f>IF(B367="","",IF(OR(F367="FAIL",K367="泄漏"),"DROP",IF(G367="FAIL","RELABEL",IF(OR(H367="FAIL",I367="FAIL",J367="FAIL"),"REWORK",IF(COUNTIF(F367:J367,"PENDING")&gt;0,"PENDING","REUSE")))))</f>
        <v/>
      </c>
      <c r="M367" s="20" t="inlineStr">
        <is>
          <t>PENDING</t>
        </is>
      </c>
      <c r="N367" s="20" t="str"/>
      <c r="O367" s="20" t="str"/>
      <c r="P367" s="20" t="str"/>
      <c r="Q367" s="20" t="inlineStr">
        <is>
          <t>待确认</t>
        </is>
      </c>
      <c r="R367" s="20" t="inlineStr">
        <is>
          <t>未开始</t>
        </is>
      </c>
      <c r="S367">
        <f>IF(B367="","",IF(E367="已暴露","DEV_REG_ONLY","ANY"))</f>
        <v/>
      </c>
    </row>
    <row r="368">
      <c r="A368" s="20" t="n">
        <v>365</v>
      </c>
      <c r="B368" s="20" t="str"/>
      <c r="C368" s="20" t="str"/>
      <c r="D368" s="20" t="str"/>
      <c r="E368" s="20" t="str"/>
      <c r="F368" s="20" t="inlineStr">
        <is>
          <t>PENDING</t>
        </is>
      </c>
      <c r="G368" s="20" t="inlineStr">
        <is>
          <t>PENDING</t>
        </is>
      </c>
      <c r="H368" s="20" t="inlineStr">
        <is>
          <t>PENDING</t>
        </is>
      </c>
      <c r="I368" s="20" t="inlineStr">
        <is>
          <t>PENDING</t>
        </is>
      </c>
      <c r="J368" s="20" t="inlineStr">
        <is>
          <t>PENDING</t>
        </is>
      </c>
      <c r="K368" s="20" t="inlineStr">
        <is>
          <t>待确认</t>
        </is>
      </c>
      <c r="L368" s="20">
        <f>IF(B368="","",IF(OR(F368="FAIL",K368="泄漏"),"DROP",IF(G368="FAIL","RELABEL",IF(OR(H368="FAIL",I368="FAIL",J368="FAIL"),"REWORK",IF(COUNTIF(F368:J368,"PENDING")&gt;0,"PENDING","REUSE")))))</f>
        <v/>
      </c>
      <c r="M368" s="20" t="inlineStr">
        <is>
          <t>PENDING</t>
        </is>
      </c>
      <c r="N368" s="20" t="str"/>
      <c r="O368" s="20" t="str"/>
      <c r="P368" s="20" t="str"/>
      <c r="Q368" s="20" t="inlineStr">
        <is>
          <t>待确认</t>
        </is>
      </c>
      <c r="R368" s="20" t="inlineStr">
        <is>
          <t>未开始</t>
        </is>
      </c>
      <c r="S368">
        <f>IF(B368="","",IF(E368="已暴露","DEV_REG_ONLY","ANY"))</f>
        <v/>
      </c>
    </row>
    <row r="369">
      <c r="A369" s="20" t="n">
        <v>366</v>
      </c>
      <c r="B369" s="20" t="str"/>
      <c r="C369" s="20" t="str"/>
      <c r="D369" s="20" t="str"/>
      <c r="E369" s="20" t="str"/>
      <c r="F369" s="20" t="inlineStr">
        <is>
          <t>PENDING</t>
        </is>
      </c>
      <c r="G369" s="20" t="inlineStr">
        <is>
          <t>PENDING</t>
        </is>
      </c>
      <c r="H369" s="20" t="inlineStr">
        <is>
          <t>PENDING</t>
        </is>
      </c>
      <c r="I369" s="20" t="inlineStr">
        <is>
          <t>PENDING</t>
        </is>
      </c>
      <c r="J369" s="20" t="inlineStr">
        <is>
          <t>PENDING</t>
        </is>
      </c>
      <c r="K369" s="20" t="inlineStr">
        <is>
          <t>待确认</t>
        </is>
      </c>
      <c r="L369" s="20">
        <f>IF(B369="","",IF(OR(F369="FAIL",K369="泄漏"),"DROP",IF(G369="FAIL","RELABEL",IF(OR(H369="FAIL",I369="FAIL",J369="FAIL"),"REWORK",IF(COUNTIF(F369:J369,"PENDING")&gt;0,"PENDING","REUSE")))))</f>
        <v/>
      </c>
      <c r="M369" s="20" t="inlineStr">
        <is>
          <t>PENDING</t>
        </is>
      </c>
      <c r="N369" s="20" t="str"/>
      <c r="O369" s="20" t="str"/>
      <c r="P369" s="20" t="str"/>
      <c r="Q369" s="20" t="inlineStr">
        <is>
          <t>待确认</t>
        </is>
      </c>
      <c r="R369" s="20" t="inlineStr">
        <is>
          <t>未开始</t>
        </is>
      </c>
      <c r="S369">
        <f>IF(B369="","",IF(E369="已暴露","DEV_REG_ONLY","ANY"))</f>
        <v/>
      </c>
    </row>
    <row r="370">
      <c r="A370" s="20" t="n">
        <v>367</v>
      </c>
      <c r="B370" s="20" t="str"/>
      <c r="C370" s="20" t="str"/>
      <c r="D370" s="20" t="str"/>
      <c r="E370" s="20" t="str"/>
      <c r="F370" s="20" t="inlineStr">
        <is>
          <t>PENDING</t>
        </is>
      </c>
      <c r="G370" s="20" t="inlineStr">
        <is>
          <t>PENDING</t>
        </is>
      </c>
      <c r="H370" s="20" t="inlineStr">
        <is>
          <t>PENDING</t>
        </is>
      </c>
      <c r="I370" s="20" t="inlineStr">
        <is>
          <t>PENDING</t>
        </is>
      </c>
      <c r="J370" s="20" t="inlineStr">
        <is>
          <t>PENDING</t>
        </is>
      </c>
      <c r="K370" s="20" t="inlineStr">
        <is>
          <t>待确认</t>
        </is>
      </c>
      <c r="L370" s="20">
        <f>IF(B370="","",IF(OR(F370="FAIL",K370="泄漏"),"DROP",IF(G370="FAIL","RELABEL",IF(OR(H370="FAIL",I370="FAIL",J370="FAIL"),"REWORK",IF(COUNTIF(F370:J370,"PENDING")&gt;0,"PENDING","REUSE")))))</f>
        <v/>
      </c>
      <c r="M370" s="20" t="inlineStr">
        <is>
          <t>PENDING</t>
        </is>
      </c>
      <c r="N370" s="20" t="str"/>
      <c r="O370" s="20" t="str"/>
      <c r="P370" s="20" t="str"/>
      <c r="Q370" s="20" t="inlineStr">
        <is>
          <t>待确认</t>
        </is>
      </c>
      <c r="R370" s="20" t="inlineStr">
        <is>
          <t>未开始</t>
        </is>
      </c>
      <c r="S370">
        <f>IF(B370="","",IF(E370="已暴露","DEV_REG_ONLY","ANY"))</f>
        <v/>
      </c>
    </row>
    <row r="371">
      <c r="A371" s="20" t="n">
        <v>368</v>
      </c>
      <c r="B371" s="20" t="str"/>
      <c r="C371" s="20" t="str"/>
      <c r="D371" s="20" t="str"/>
      <c r="E371" s="20" t="str"/>
      <c r="F371" s="20" t="inlineStr">
        <is>
          <t>PENDING</t>
        </is>
      </c>
      <c r="G371" s="20" t="inlineStr">
        <is>
          <t>PENDING</t>
        </is>
      </c>
      <c r="H371" s="20" t="inlineStr">
        <is>
          <t>PENDING</t>
        </is>
      </c>
      <c r="I371" s="20" t="inlineStr">
        <is>
          <t>PENDING</t>
        </is>
      </c>
      <c r="J371" s="20" t="inlineStr">
        <is>
          <t>PENDING</t>
        </is>
      </c>
      <c r="K371" s="20" t="inlineStr">
        <is>
          <t>待确认</t>
        </is>
      </c>
      <c r="L371" s="20">
        <f>IF(B371="","",IF(OR(F371="FAIL",K371="泄漏"),"DROP",IF(G371="FAIL","RELABEL",IF(OR(H371="FAIL",I371="FAIL",J371="FAIL"),"REWORK",IF(COUNTIF(F371:J371,"PENDING")&gt;0,"PENDING","REUSE")))))</f>
        <v/>
      </c>
      <c r="M371" s="20" t="inlineStr">
        <is>
          <t>PENDING</t>
        </is>
      </c>
      <c r="N371" s="20" t="str"/>
      <c r="O371" s="20" t="str"/>
      <c r="P371" s="20" t="str"/>
      <c r="Q371" s="20" t="inlineStr">
        <is>
          <t>待确认</t>
        </is>
      </c>
      <c r="R371" s="20" t="inlineStr">
        <is>
          <t>未开始</t>
        </is>
      </c>
      <c r="S371">
        <f>IF(B371="","",IF(E371="已暴露","DEV_REG_ONLY","ANY"))</f>
        <v/>
      </c>
    </row>
    <row r="372">
      <c r="A372" s="20" t="n">
        <v>369</v>
      </c>
      <c r="B372" s="20" t="str"/>
      <c r="C372" s="20" t="str"/>
      <c r="D372" s="20" t="str"/>
      <c r="E372" s="20" t="str"/>
      <c r="F372" s="20" t="inlineStr">
        <is>
          <t>PENDING</t>
        </is>
      </c>
      <c r="G372" s="20" t="inlineStr">
        <is>
          <t>PENDING</t>
        </is>
      </c>
      <c r="H372" s="20" t="inlineStr">
        <is>
          <t>PENDING</t>
        </is>
      </c>
      <c r="I372" s="20" t="inlineStr">
        <is>
          <t>PENDING</t>
        </is>
      </c>
      <c r="J372" s="20" t="inlineStr">
        <is>
          <t>PENDING</t>
        </is>
      </c>
      <c r="K372" s="20" t="inlineStr">
        <is>
          <t>待确认</t>
        </is>
      </c>
      <c r="L372" s="20">
        <f>IF(B372="","",IF(OR(F372="FAIL",K372="泄漏"),"DROP",IF(G372="FAIL","RELABEL",IF(OR(H372="FAIL",I372="FAIL",J372="FAIL"),"REWORK",IF(COUNTIF(F372:J372,"PENDING")&gt;0,"PENDING","REUSE")))))</f>
        <v/>
      </c>
      <c r="M372" s="20" t="inlineStr">
        <is>
          <t>PENDING</t>
        </is>
      </c>
      <c r="N372" s="20" t="str"/>
      <c r="O372" s="20" t="str"/>
      <c r="P372" s="20" t="str"/>
      <c r="Q372" s="20" t="inlineStr">
        <is>
          <t>待确认</t>
        </is>
      </c>
      <c r="R372" s="20" t="inlineStr">
        <is>
          <t>未开始</t>
        </is>
      </c>
      <c r="S372">
        <f>IF(B372="","",IF(E372="已暴露","DEV_REG_ONLY","ANY"))</f>
        <v/>
      </c>
    </row>
    <row r="373">
      <c r="A373" s="20" t="n">
        <v>370</v>
      </c>
      <c r="B373" s="20" t="str"/>
      <c r="C373" s="20" t="str"/>
      <c r="D373" s="20" t="str"/>
      <c r="E373" s="20" t="str"/>
      <c r="F373" s="20" t="inlineStr">
        <is>
          <t>PENDING</t>
        </is>
      </c>
      <c r="G373" s="20" t="inlineStr">
        <is>
          <t>PENDING</t>
        </is>
      </c>
      <c r="H373" s="20" t="inlineStr">
        <is>
          <t>PENDING</t>
        </is>
      </c>
      <c r="I373" s="20" t="inlineStr">
        <is>
          <t>PENDING</t>
        </is>
      </c>
      <c r="J373" s="20" t="inlineStr">
        <is>
          <t>PENDING</t>
        </is>
      </c>
      <c r="K373" s="20" t="inlineStr">
        <is>
          <t>待确认</t>
        </is>
      </c>
      <c r="L373" s="20">
        <f>IF(B373="","",IF(OR(F373="FAIL",K373="泄漏"),"DROP",IF(G373="FAIL","RELABEL",IF(OR(H373="FAIL",I373="FAIL",J373="FAIL"),"REWORK",IF(COUNTIF(F373:J373,"PENDING")&gt;0,"PENDING","REUSE")))))</f>
        <v/>
      </c>
      <c r="M373" s="20" t="inlineStr">
        <is>
          <t>PENDING</t>
        </is>
      </c>
      <c r="N373" s="20" t="str"/>
      <c r="O373" s="20" t="str"/>
      <c r="P373" s="20" t="str"/>
      <c r="Q373" s="20" t="inlineStr">
        <is>
          <t>待确认</t>
        </is>
      </c>
      <c r="R373" s="20" t="inlineStr">
        <is>
          <t>未开始</t>
        </is>
      </c>
      <c r="S373">
        <f>IF(B373="","",IF(E373="已暴露","DEV_REG_ONLY","ANY"))</f>
        <v/>
      </c>
    </row>
    <row r="374">
      <c r="A374" s="20" t="n">
        <v>371</v>
      </c>
      <c r="B374" s="20" t="str"/>
      <c r="C374" s="20" t="str"/>
      <c r="D374" s="20" t="str"/>
      <c r="E374" s="20" t="str"/>
      <c r="F374" s="20" t="inlineStr">
        <is>
          <t>PENDING</t>
        </is>
      </c>
      <c r="G374" s="20" t="inlineStr">
        <is>
          <t>PENDING</t>
        </is>
      </c>
      <c r="H374" s="20" t="inlineStr">
        <is>
          <t>PENDING</t>
        </is>
      </c>
      <c r="I374" s="20" t="inlineStr">
        <is>
          <t>PENDING</t>
        </is>
      </c>
      <c r="J374" s="20" t="inlineStr">
        <is>
          <t>PENDING</t>
        </is>
      </c>
      <c r="K374" s="20" t="inlineStr">
        <is>
          <t>待确认</t>
        </is>
      </c>
      <c r="L374" s="20">
        <f>IF(B374="","",IF(OR(F374="FAIL",K374="泄漏"),"DROP",IF(G374="FAIL","RELABEL",IF(OR(H374="FAIL",I374="FAIL",J374="FAIL"),"REWORK",IF(COUNTIF(F374:J374,"PENDING")&gt;0,"PENDING","REUSE")))))</f>
        <v/>
      </c>
      <c r="M374" s="20" t="inlineStr">
        <is>
          <t>PENDING</t>
        </is>
      </c>
      <c r="N374" s="20" t="str"/>
      <c r="O374" s="20" t="str"/>
      <c r="P374" s="20" t="str"/>
      <c r="Q374" s="20" t="inlineStr">
        <is>
          <t>待确认</t>
        </is>
      </c>
      <c r="R374" s="20" t="inlineStr">
        <is>
          <t>未开始</t>
        </is>
      </c>
      <c r="S374">
        <f>IF(B374="","",IF(E374="已暴露","DEV_REG_ONLY","ANY"))</f>
        <v/>
      </c>
    </row>
    <row r="375">
      <c r="A375" s="20" t="n">
        <v>372</v>
      </c>
      <c r="B375" s="20" t="str"/>
      <c r="C375" s="20" t="str"/>
      <c r="D375" s="20" t="str"/>
      <c r="E375" s="20" t="str"/>
      <c r="F375" s="20" t="inlineStr">
        <is>
          <t>PENDING</t>
        </is>
      </c>
      <c r="G375" s="20" t="inlineStr">
        <is>
          <t>PENDING</t>
        </is>
      </c>
      <c r="H375" s="20" t="inlineStr">
        <is>
          <t>PENDING</t>
        </is>
      </c>
      <c r="I375" s="20" t="inlineStr">
        <is>
          <t>PENDING</t>
        </is>
      </c>
      <c r="J375" s="20" t="inlineStr">
        <is>
          <t>PENDING</t>
        </is>
      </c>
      <c r="K375" s="20" t="inlineStr">
        <is>
          <t>待确认</t>
        </is>
      </c>
      <c r="L375" s="20">
        <f>IF(B375="","",IF(OR(F375="FAIL",K375="泄漏"),"DROP",IF(G375="FAIL","RELABEL",IF(OR(H375="FAIL",I375="FAIL",J375="FAIL"),"REWORK",IF(COUNTIF(F375:J375,"PENDING")&gt;0,"PENDING","REUSE")))))</f>
        <v/>
      </c>
      <c r="M375" s="20" t="inlineStr">
        <is>
          <t>PENDING</t>
        </is>
      </c>
      <c r="N375" s="20" t="str"/>
      <c r="O375" s="20" t="str"/>
      <c r="P375" s="20" t="str"/>
      <c r="Q375" s="20" t="inlineStr">
        <is>
          <t>待确认</t>
        </is>
      </c>
      <c r="R375" s="20" t="inlineStr">
        <is>
          <t>未开始</t>
        </is>
      </c>
      <c r="S375">
        <f>IF(B375="","",IF(E375="已暴露","DEV_REG_ONLY","ANY"))</f>
        <v/>
      </c>
    </row>
    <row r="376">
      <c r="A376" s="20" t="n">
        <v>373</v>
      </c>
      <c r="B376" s="20" t="str"/>
      <c r="C376" s="20" t="str"/>
      <c r="D376" s="20" t="str"/>
      <c r="E376" s="20" t="str"/>
      <c r="F376" s="20" t="inlineStr">
        <is>
          <t>PENDING</t>
        </is>
      </c>
      <c r="G376" s="20" t="inlineStr">
        <is>
          <t>PENDING</t>
        </is>
      </c>
      <c r="H376" s="20" t="inlineStr">
        <is>
          <t>PENDING</t>
        </is>
      </c>
      <c r="I376" s="20" t="inlineStr">
        <is>
          <t>PENDING</t>
        </is>
      </c>
      <c r="J376" s="20" t="inlineStr">
        <is>
          <t>PENDING</t>
        </is>
      </c>
      <c r="K376" s="20" t="inlineStr">
        <is>
          <t>待确认</t>
        </is>
      </c>
      <c r="L376" s="20">
        <f>IF(B376="","",IF(OR(F376="FAIL",K376="泄漏"),"DROP",IF(G376="FAIL","RELABEL",IF(OR(H376="FAIL",I376="FAIL",J376="FAIL"),"REWORK",IF(COUNTIF(F376:J376,"PENDING")&gt;0,"PENDING","REUSE")))))</f>
        <v/>
      </c>
      <c r="M376" s="20" t="inlineStr">
        <is>
          <t>PENDING</t>
        </is>
      </c>
      <c r="N376" s="20" t="str"/>
      <c r="O376" s="20" t="str"/>
      <c r="P376" s="20" t="str"/>
      <c r="Q376" s="20" t="inlineStr">
        <is>
          <t>待确认</t>
        </is>
      </c>
      <c r="R376" s="20" t="inlineStr">
        <is>
          <t>未开始</t>
        </is>
      </c>
      <c r="S376">
        <f>IF(B376="","",IF(E376="已暴露","DEV_REG_ONLY","ANY"))</f>
        <v/>
      </c>
    </row>
    <row r="377">
      <c r="A377" s="20" t="n">
        <v>374</v>
      </c>
      <c r="B377" s="20" t="str"/>
      <c r="C377" s="20" t="str"/>
      <c r="D377" s="20" t="str"/>
      <c r="E377" s="20" t="str"/>
      <c r="F377" s="20" t="inlineStr">
        <is>
          <t>PENDING</t>
        </is>
      </c>
      <c r="G377" s="20" t="inlineStr">
        <is>
          <t>PENDING</t>
        </is>
      </c>
      <c r="H377" s="20" t="inlineStr">
        <is>
          <t>PENDING</t>
        </is>
      </c>
      <c r="I377" s="20" t="inlineStr">
        <is>
          <t>PENDING</t>
        </is>
      </c>
      <c r="J377" s="20" t="inlineStr">
        <is>
          <t>PENDING</t>
        </is>
      </c>
      <c r="K377" s="20" t="inlineStr">
        <is>
          <t>待确认</t>
        </is>
      </c>
      <c r="L377" s="20">
        <f>IF(B377="","",IF(OR(F377="FAIL",K377="泄漏"),"DROP",IF(G377="FAIL","RELABEL",IF(OR(H377="FAIL",I377="FAIL",J377="FAIL"),"REWORK",IF(COUNTIF(F377:J377,"PENDING")&gt;0,"PENDING","REUSE")))))</f>
        <v/>
      </c>
      <c r="M377" s="20" t="inlineStr">
        <is>
          <t>PENDING</t>
        </is>
      </c>
      <c r="N377" s="20" t="str"/>
      <c r="O377" s="20" t="str"/>
      <c r="P377" s="20" t="str"/>
      <c r="Q377" s="20" t="inlineStr">
        <is>
          <t>待确认</t>
        </is>
      </c>
      <c r="R377" s="20" t="inlineStr">
        <is>
          <t>未开始</t>
        </is>
      </c>
      <c r="S377">
        <f>IF(B377="","",IF(E377="已暴露","DEV_REG_ONLY","ANY"))</f>
        <v/>
      </c>
    </row>
    <row r="378">
      <c r="A378" s="20" t="n">
        <v>375</v>
      </c>
      <c r="B378" s="20" t="str"/>
      <c r="C378" s="20" t="str"/>
      <c r="D378" s="20" t="str"/>
      <c r="E378" s="20" t="str"/>
      <c r="F378" s="20" t="inlineStr">
        <is>
          <t>PENDING</t>
        </is>
      </c>
      <c r="G378" s="20" t="inlineStr">
        <is>
          <t>PENDING</t>
        </is>
      </c>
      <c r="H378" s="20" t="inlineStr">
        <is>
          <t>PENDING</t>
        </is>
      </c>
      <c r="I378" s="20" t="inlineStr">
        <is>
          <t>PENDING</t>
        </is>
      </c>
      <c r="J378" s="20" t="inlineStr">
        <is>
          <t>PENDING</t>
        </is>
      </c>
      <c r="K378" s="20" t="inlineStr">
        <is>
          <t>待确认</t>
        </is>
      </c>
      <c r="L378" s="20">
        <f>IF(B378="","",IF(OR(F378="FAIL",K378="泄漏"),"DROP",IF(G378="FAIL","RELABEL",IF(OR(H378="FAIL",I378="FAIL",J378="FAIL"),"REWORK",IF(COUNTIF(F378:J378,"PENDING")&gt;0,"PENDING","REUSE")))))</f>
        <v/>
      </c>
      <c r="M378" s="20" t="inlineStr">
        <is>
          <t>PENDING</t>
        </is>
      </c>
      <c r="N378" s="20" t="str"/>
      <c r="O378" s="20" t="str"/>
      <c r="P378" s="20" t="str"/>
      <c r="Q378" s="20" t="inlineStr">
        <is>
          <t>待确认</t>
        </is>
      </c>
      <c r="R378" s="20" t="inlineStr">
        <is>
          <t>未开始</t>
        </is>
      </c>
      <c r="S378">
        <f>IF(B378="","",IF(E378="已暴露","DEV_REG_ONLY","ANY"))</f>
        <v/>
      </c>
    </row>
    <row r="379">
      <c r="A379" s="20" t="n">
        <v>376</v>
      </c>
      <c r="B379" s="20" t="str"/>
      <c r="C379" s="20" t="str"/>
      <c r="D379" s="20" t="str"/>
      <c r="E379" s="20" t="str"/>
      <c r="F379" s="20" t="inlineStr">
        <is>
          <t>PENDING</t>
        </is>
      </c>
      <c r="G379" s="20" t="inlineStr">
        <is>
          <t>PENDING</t>
        </is>
      </c>
      <c r="H379" s="20" t="inlineStr">
        <is>
          <t>PENDING</t>
        </is>
      </c>
      <c r="I379" s="20" t="inlineStr">
        <is>
          <t>PENDING</t>
        </is>
      </c>
      <c r="J379" s="20" t="inlineStr">
        <is>
          <t>PENDING</t>
        </is>
      </c>
      <c r="K379" s="20" t="inlineStr">
        <is>
          <t>待确认</t>
        </is>
      </c>
      <c r="L379" s="20">
        <f>IF(B379="","",IF(OR(F379="FAIL",K379="泄漏"),"DROP",IF(G379="FAIL","RELABEL",IF(OR(H379="FAIL",I379="FAIL",J379="FAIL"),"REWORK",IF(COUNTIF(F379:J379,"PENDING")&gt;0,"PENDING","REUSE")))))</f>
        <v/>
      </c>
      <c r="M379" s="20" t="inlineStr">
        <is>
          <t>PENDING</t>
        </is>
      </c>
      <c r="N379" s="20" t="str"/>
      <c r="O379" s="20" t="str"/>
      <c r="P379" s="20" t="str"/>
      <c r="Q379" s="20" t="inlineStr">
        <is>
          <t>待确认</t>
        </is>
      </c>
      <c r="R379" s="20" t="inlineStr">
        <is>
          <t>未开始</t>
        </is>
      </c>
      <c r="S379">
        <f>IF(B379="","",IF(E379="已暴露","DEV_REG_ONLY","ANY"))</f>
        <v/>
      </c>
    </row>
    <row r="380">
      <c r="A380" s="20" t="n">
        <v>377</v>
      </c>
      <c r="B380" s="20" t="str"/>
      <c r="C380" s="20" t="str"/>
      <c r="D380" s="20" t="str"/>
      <c r="E380" s="20" t="str"/>
      <c r="F380" s="20" t="inlineStr">
        <is>
          <t>PENDING</t>
        </is>
      </c>
      <c r="G380" s="20" t="inlineStr">
        <is>
          <t>PENDING</t>
        </is>
      </c>
      <c r="H380" s="20" t="inlineStr">
        <is>
          <t>PENDING</t>
        </is>
      </c>
      <c r="I380" s="20" t="inlineStr">
        <is>
          <t>PENDING</t>
        </is>
      </c>
      <c r="J380" s="20" t="inlineStr">
        <is>
          <t>PENDING</t>
        </is>
      </c>
      <c r="K380" s="20" t="inlineStr">
        <is>
          <t>待确认</t>
        </is>
      </c>
      <c r="L380" s="20">
        <f>IF(B380="","",IF(OR(F380="FAIL",K380="泄漏"),"DROP",IF(G380="FAIL","RELABEL",IF(OR(H380="FAIL",I380="FAIL",J380="FAIL"),"REWORK",IF(COUNTIF(F380:J380,"PENDING")&gt;0,"PENDING","REUSE")))))</f>
        <v/>
      </c>
      <c r="M380" s="20" t="inlineStr">
        <is>
          <t>PENDING</t>
        </is>
      </c>
      <c r="N380" s="20" t="str"/>
      <c r="O380" s="20" t="str"/>
      <c r="P380" s="20" t="str"/>
      <c r="Q380" s="20" t="inlineStr">
        <is>
          <t>待确认</t>
        </is>
      </c>
      <c r="R380" s="20" t="inlineStr">
        <is>
          <t>未开始</t>
        </is>
      </c>
      <c r="S380">
        <f>IF(B380="","",IF(E380="已暴露","DEV_REG_ONLY","ANY"))</f>
        <v/>
      </c>
    </row>
    <row r="381">
      <c r="A381" s="20" t="n">
        <v>378</v>
      </c>
      <c r="B381" s="20" t="str"/>
      <c r="C381" s="20" t="str"/>
      <c r="D381" s="20" t="str"/>
      <c r="E381" s="20" t="str"/>
      <c r="F381" s="20" t="inlineStr">
        <is>
          <t>PENDING</t>
        </is>
      </c>
      <c r="G381" s="20" t="inlineStr">
        <is>
          <t>PENDING</t>
        </is>
      </c>
      <c r="H381" s="20" t="inlineStr">
        <is>
          <t>PENDING</t>
        </is>
      </c>
      <c r="I381" s="20" t="inlineStr">
        <is>
          <t>PENDING</t>
        </is>
      </c>
      <c r="J381" s="20" t="inlineStr">
        <is>
          <t>PENDING</t>
        </is>
      </c>
      <c r="K381" s="20" t="inlineStr">
        <is>
          <t>待确认</t>
        </is>
      </c>
      <c r="L381" s="20">
        <f>IF(B381="","",IF(OR(F381="FAIL",K381="泄漏"),"DROP",IF(G381="FAIL","RELABEL",IF(OR(H381="FAIL",I381="FAIL",J381="FAIL"),"REWORK",IF(COUNTIF(F381:J381,"PENDING")&gt;0,"PENDING","REUSE")))))</f>
        <v/>
      </c>
      <c r="M381" s="20" t="inlineStr">
        <is>
          <t>PENDING</t>
        </is>
      </c>
      <c r="N381" s="20" t="str"/>
      <c r="O381" s="20" t="str"/>
      <c r="P381" s="20" t="str"/>
      <c r="Q381" s="20" t="inlineStr">
        <is>
          <t>待确认</t>
        </is>
      </c>
      <c r="R381" s="20" t="inlineStr">
        <is>
          <t>未开始</t>
        </is>
      </c>
      <c r="S381">
        <f>IF(B381="","",IF(E381="已暴露","DEV_REG_ONLY","ANY"))</f>
        <v/>
      </c>
    </row>
    <row r="382">
      <c r="A382" s="20" t="n">
        <v>379</v>
      </c>
      <c r="B382" s="20" t="str"/>
      <c r="C382" s="20" t="str"/>
      <c r="D382" s="20" t="str"/>
      <c r="E382" s="20" t="str"/>
      <c r="F382" s="20" t="inlineStr">
        <is>
          <t>PENDING</t>
        </is>
      </c>
      <c r="G382" s="20" t="inlineStr">
        <is>
          <t>PENDING</t>
        </is>
      </c>
      <c r="H382" s="20" t="inlineStr">
        <is>
          <t>PENDING</t>
        </is>
      </c>
      <c r="I382" s="20" t="inlineStr">
        <is>
          <t>PENDING</t>
        </is>
      </c>
      <c r="J382" s="20" t="inlineStr">
        <is>
          <t>PENDING</t>
        </is>
      </c>
      <c r="K382" s="20" t="inlineStr">
        <is>
          <t>待确认</t>
        </is>
      </c>
      <c r="L382" s="20">
        <f>IF(B382="","",IF(OR(F382="FAIL",K382="泄漏"),"DROP",IF(G382="FAIL","RELABEL",IF(OR(H382="FAIL",I382="FAIL",J382="FAIL"),"REWORK",IF(COUNTIF(F382:J382,"PENDING")&gt;0,"PENDING","REUSE")))))</f>
        <v/>
      </c>
      <c r="M382" s="20" t="inlineStr">
        <is>
          <t>PENDING</t>
        </is>
      </c>
      <c r="N382" s="20" t="str"/>
      <c r="O382" s="20" t="str"/>
      <c r="P382" s="20" t="str"/>
      <c r="Q382" s="20" t="inlineStr">
        <is>
          <t>待确认</t>
        </is>
      </c>
      <c r="R382" s="20" t="inlineStr">
        <is>
          <t>未开始</t>
        </is>
      </c>
      <c r="S382">
        <f>IF(B382="","",IF(E382="已暴露","DEV_REG_ONLY","ANY"))</f>
        <v/>
      </c>
    </row>
    <row r="383">
      <c r="A383" s="20" t="n">
        <v>380</v>
      </c>
      <c r="B383" s="20" t="str"/>
      <c r="C383" s="20" t="str"/>
      <c r="D383" s="20" t="str"/>
      <c r="E383" s="20" t="str"/>
      <c r="F383" s="20" t="inlineStr">
        <is>
          <t>PENDING</t>
        </is>
      </c>
      <c r="G383" s="20" t="inlineStr">
        <is>
          <t>PENDING</t>
        </is>
      </c>
      <c r="H383" s="20" t="inlineStr">
        <is>
          <t>PENDING</t>
        </is>
      </c>
      <c r="I383" s="20" t="inlineStr">
        <is>
          <t>PENDING</t>
        </is>
      </c>
      <c r="J383" s="20" t="inlineStr">
        <is>
          <t>PENDING</t>
        </is>
      </c>
      <c r="K383" s="20" t="inlineStr">
        <is>
          <t>待确认</t>
        </is>
      </c>
      <c r="L383" s="20">
        <f>IF(B383="","",IF(OR(F383="FAIL",K383="泄漏"),"DROP",IF(G383="FAIL","RELABEL",IF(OR(H383="FAIL",I383="FAIL",J383="FAIL"),"REWORK",IF(COUNTIF(F383:J383,"PENDING")&gt;0,"PENDING","REUSE")))))</f>
        <v/>
      </c>
      <c r="M383" s="20" t="inlineStr">
        <is>
          <t>PENDING</t>
        </is>
      </c>
      <c r="N383" s="20" t="str"/>
      <c r="O383" s="20" t="str"/>
      <c r="P383" s="20" t="str"/>
      <c r="Q383" s="20" t="inlineStr">
        <is>
          <t>待确认</t>
        </is>
      </c>
      <c r="R383" s="20" t="inlineStr">
        <is>
          <t>未开始</t>
        </is>
      </c>
      <c r="S383">
        <f>IF(B383="","",IF(E383="已暴露","DEV_REG_ONLY","ANY"))</f>
        <v/>
      </c>
    </row>
    <row r="384">
      <c r="A384" s="20" t="n">
        <v>381</v>
      </c>
      <c r="B384" s="20" t="str"/>
      <c r="C384" s="20" t="str"/>
      <c r="D384" s="20" t="str"/>
      <c r="E384" s="20" t="str"/>
      <c r="F384" s="20" t="inlineStr">
        <is>
          <t>PENDING</t>
        </is>
      </c>
      <c r="G384" s="20" t="inlineStr">
        <is>
          <t>PENDING</t>
        </is>
      </c>
      <c r="H384" s="20" t="inlineStr">
        <is>
          <t>PENDING</t>
        </is>
      </c>
      <c r="I384" s="20" t="inlineStr">
        <is>
          <t>PENDING</t>
        </is>
      </c>
      <c r="J384" s="20" t="inlineStr">
        <is>
          <t>PENDING</t>
        </is>
      </c>
      <c r="K384" s="20" t="inlineStr">
        <is>
          <t>待确认</t>
        </is>
      </c>
      <c r="L384" s="20">
        <f>IF(B384="","",IF(OR(F384="FAIL",K384="泄漏"),"DROP",IF(G384="FAIL","RELABEL",IF(OR(H384="FAIL",I384="FAIL",J384="FAIL"),"REWORK",IF(COUNTIF(F384:J384,"PENDING")&gt;0,"PENDING","REUSE")))))</f>
        <v/>
      </c>
      <c r="M384" s="20" t="inlineStr">
        <is>
          <t>PENDING</t>
        </is>
      </c>
      <c r="N384" s="20" t="str"/>
      <c r="O384" s="20" t="str"/>
      <c r="P384" s="20" t="str"/>
      <c r="Q384" s="20" t="inlineStr">
        <is>
          <t>待确认</t>
        </is>
      </c>
      <c r="R384" s="20" t="inlineStr">
        <is>
          <t>未开始</t>
        </is>
      </c>
      <c r="S384">
        <f>IF(B384="","",IF(E384="已暴露","DEV_REG_ONLY","ANY"))</f>
        <v/>
      </c>
    </row>
    <row r="385">
      <c r="A385" s="20" t="n">
        <v>382</v>
      </c>
      <c r="B385" s="20" t="str"/>
      <c r="C385" s="20" t="str"/>
      <c r="D385" s="20" t="str"/>
      <c r="E385" s="20" t="str"/>
      <c r="F385" s="20" t="inlineStr">
        <is>
          <t>PENDING</t>
        </is>
      </c>
      <c r="G385" s="20" t="inlineStr">
        <is>
          <t>PENDING</t>
        </is>
      </c>
      <c r="H385" s="20" t="inlineStr">
        <is>
          <t>PENDING</t>
        </is>
      </c>
      <c r="I385" s="20" t="inlineStr">
        <is>
          <t>PENDING</t>
        </is>
      </c>
      <c r="J385" s="20" t="inlineStr">
        <is>
          <t>PENDING</t>
        </is>
      </c>
      <c r="K385" s="20" t="inlineStr">
        <is>
          <t>待确认</t>
        </is>
      </c>
      <c r="L385" s="20">
        <f>IF(B385="","",IF(OR(F385="FAIL",K385="泄漏"),"DROP",IF(G385="FAIL","RELABEL",IF(OR(H385="FAIL",I385="FAIL",J385="FAIL"),"REWORK",IF(COUNTIF(F385:J385,"PENDING")&gt;0,"PENDING","REUSE")))))</f>
        <v/>
      </c>
      <c r="M385" s="20" t="inlineStr">
        <is>
          <t>PENDING</t>
        </is>
      </c>
      <c r="N385" s="20" t="str"/>
      <c r="O385" s="20" t="str"/>
      <c r="P385" s="20" t="str"/>
      <c r="Q385" s="20" t="inlineStr">
        <is>
          <t>待确认</t>
        </is>
      </c>
      <c r="R385" s="20" t="inlineStr">
        <is>
          <t>未开始</t>
        </is>
      </c>
      <c r="S385">
        <f>IF(B385="","",IF(E385="已暴露","DEV_REG_ONLY","ANY"))</f>
        <v/>
      </c>
    </row>
    <row r="386">
      <c r="A386" s="20" t="n">
        <v>383</v>
      </c>
      <c r="B386" s="20" t="str"/>
      <c r="C386" s="20" t="str"/>
      <c r="D386" s="20" t="str"/>
      <c r="E386" s="20" t="str"/>
      <c r="F386" s="20" t="inlineStr">
        <is>
          <t>PENDING</t>
        </is>
      </c>
      <c r="G386" s="20" t="inlineStr">
        <is>
          <t>PENDING</t>
        </is>
      </c>
      <c r="H386" s="20" t="inlineStr">
        <is>
          <t>PENDING</t>
        </is>
      </c>
      <c r="I386" s="20" t="inlineStr">
        <is>
          <t>PENDING</t>
        </is>
      </c>
      <c r="J386" s="20" t="inlineStr">
        <is>
          <t>PENDING</t>
        </is>
      </c>
      <c r="K386" s="20" t="inlineStr">
        <is>
          <t>待确认</t>
        </is>
      </c>
      <c r="L386" s="20">
        <f>IF(B386="","",IF(OR(F386="FAIL",K386="泄漏"),"DROP",IF(G386="FAIL","RELABEL",IF(OR(H386="FAIL",I386="FAIL",J386="FAIL"),"REWORK",IF(COUNTIF(F386:J386,"PENDING")&gt;0,"PENDING","REUSE")))))</f>
        <v/>
      </c>
      <c r="M386" s="20" t="inlineStr">
        <is>
          <t>PENDING</t>
        </is>
      </c>
      <c r="N386" s="20" t="str"/>
      <c r="O386" s="20" t="str"/>
      <c r="P386" s="20" t="str"/>
      <c r="Q386" s="20" t="inlineStr">
        <is>
          <t>待确认</t>
        </is>
      </c>
      <c r="R386" s="20" t="inlineStr">
        <is>
          <t>未开始</t>
        </is>
      </c>
      <c r="S386">
        <f>IF(B386="","",IF(E386="已暴露","DEV_REG_ONLY","ANY"))</f>
        <v/>
      </c>
    </row>
    <row r="387">
      <c r="A387" s="20" t="n">
        <v>384</v>
      </c>
      <c r="B387" s="20" t="str"/>
      <c r="C387" s="20" t="str"/>
      <c r="D387" s="20" t="str"/>
      <c r="E387" s="20" t="str"/>
      <c r="F387" s="20" t="inlineStr">
        <is>
          <t>PENDING</t>
        </is>
      </c>
      <c r="G387" s="20" t="inlineStr">
        <is>
          <t>PENDING</t>
        </is>
      </c>
      <c r="H387" s="20" t="inlineStr">
        <is>
          <t>PENDING</t>
        </is>
      </c>
      <c r="I387" s="20" t="inlineStr">
        <is>
          <t>PENDING</t>
        </is>
      </c>
      <c r="J387" s="20" t="inlineStr">
        <is>
          <t>PENDING</t>
        </is>
      </c>
      <c r="K387" s="20" t="inlineStr">
        <is>
          <t>待确认</t>
        </is>
      </c>
      <c r="L387" s="20">
        <f>IF(B387="","",IF(OR(F387="FAIL",K387="泄漏"),"DROP",IF(G387="FAIL","RELABEL",IF(OR(H387="FAIL",I387="FAIL",J387="FAIL"),"REWORK",IF(COUNTIF(F387:J387,"PENDING")&gt;0,"PENDING","REUSE")))))</f>
        <v/>
      </c>
      <c r="M387" s="20" t="inlineStr">
        <is>
          <t>PENDING</t>
        </is>
      </c>
      <c r="N387" s="20" t="str"/>
      <c r="O387" s="20" t="str"/>
      <c r="P387" s="20" t="str"/>
      <c r="Q387" s="20" t="inlineStr">
        <is>
          <t>待确认</t>
        </is>
      </c>
      <c r="R387" s="20" t="inlineStr">
        <is>
          <t>未开始</t>
        </is>
      </c>
      <c r="S387">
        <f>IF(B387="","",IF(E387="已暴露","DEV_REG_ONLY","ANY"))</f>
        <v/>
      </c>
    </row>
    <row r="388">
      <c r="A388" s="20" t="n">
        <v>385</v>
      </c>
      <c r="B388" s="20" t="str"/>
      <c r="C388" s="20" t="str"/>
      <c r="D388" s="20" t="str"/>
      <c r="E388" s="20" t="str"/>
      <c r="F388" s="20" t="inlineStr">
        <is>
          <t>PENDING</t>
        </is>
      </c>
      <c r="G388" s="20" t="inlineStr">
        <is>
          <t>PENDING</t>
        </is>
      </c>
      <c r="H388" s="20" t="inlineStr">
        <is>
          <t>PENDING</t>
        </is>
      </c>
      <c r="I388" s="20" t="inlineStr">
        <is>
          <t>PENDING</t>
        </is>
      </c>
      <c r="J388" s="20" t="inlineStr">
        <is>
          <t>PENDING</t>
        </is>
      </c>
      <c r="K388" s="20" t="inlineStr">
        <is>
          <t>待确认</t>
        </is>
      </c>
      <c r="L388" s="20">
        <f>IF(B388="","",IF(OR(F388="FAIL",K388="泄漏"),"DROP",IF(G388="FAIL","RELABEL",IF(OR(H388="FAIL",I388="FAIL",J388="FAIL"),"REWORK",IF(COUNTIF(F388:J388,"PENDING")&gt;0,"PENDING","REUSE")))))</f>
        <v/>
      </c>
      <c r="M388" s="20" t="inlineStr">
        <is>
          <t>PENDING</t>
        </is>
      </c>
      <c r="N388" s="20" t="str"/>
      <c r="O388" s="20" t="str"/>
      <c r="P388" s="20" t="str"/>
      <c r="Q388" s="20" t="inlineStr">
        <is>
          <t>待确认</t>
        </is>
      </c>
      <c r="R388" s="20" t="inlineStr">
        <is>
          <t>未开始</t>
        </is>
      </c>
      <c r="S388">
        <f>IF(B388="","",IF(E388="已暴露","DEV_REG_ONLY","ANY"))</f>
        <v/>
      </c>
    </row>
    <row r="389">
      <c r="A389" s="20" t="n">
        <v>386</v>
      </c>
      <c r="B389" s="20" t="str"/>
      <c r="C389" s="20" t="str"/>
      <c r="D389" s="20" t="str"/>
      <c r="E389" s="20" t="str"/>
      <c r="F389" s="20" t="inlineStr">
        <is>
          <t>PENDING</t>
        </is>
      </c>
      <c r="G389" s="20" t="inlineStr">
        <is>
          <t>PENDING</t>
        </is>
      </c>
      <c r="H389" s="20" t="inlineStr">
        <is>
          <t>PENDING</t>
        </is>
      </c>
      <c r="I389" s="20" t="inlineStr">
        <is>
          <t>PENDING</t>
        </is>
      </c>
      <c r="J389" s="20" t="inlineStr">
        <is>
          <t>PENDING</t>
        </is>
      </c>
      <c r="K389" s="20" t="inlineStr">
        <is>
          <t>待确认</t>
        </is>
      </c>
      <c r="L389" s="20">
        <f>IF(B389="","",IF(OR(F389="FAIL",K389="泄漏"),"DROP",IF(G389="FAIL","RELABEL",IF(OR(H389="FAIL",I389="FAIL",J389="FAIL"),"REWORK",IF(COUNTIF(F389:J389,"PENDING")&gt;0,"PENDING","REUSE")))))</f>
        <v/>
      </c>
      <c r="M389" s="20" t="inlineStr">
        <is>
          <t>PENDING</t>
        </is>
      </c>
      <c r="N389" s="20" t="str"/>
      <c r="O389" s="20" t="str"/>
      <c r="P389" s="20" t="str"/>
      <c r="Q389" s="20" t="inlineStr">
        <is>
          <t>待确认</t>
        </is>
      </c>
      <c r="R389" s="20" t="inlineStr">
        <is>
          <t>未开始</t>
        </is>
      </c>
      <c r="S389">
        <f>IF(B389="","",IF(E389="已暴露","DEV_REG_ONLY","ANY"))</f>
        <v/>
      </c>
    </row>
    <row r="390">
      <c r="A390" s="20" t="n">
        <v>387</v>
      </c>
      <c r="B390" s="20" t="str"/>
      <c r="C390" s="20" t="str"/>
      <c r="D390" s="20" t="str"/>
      <c r="E390" s="20" t="str"/>
      <c r="F390" s="20" t="inlineStr">
        <is>
          <t>PENDING</t>
        </is>
      </c>
      <c r="G390" s="20" t="inlineStr">
        <is>
          <t>PENDING</t>
        </is>
      </c>
      <c r="H390" s="20" t="inlineStr">
        <is>
          <t>PENDING</t>
        </is>
      </c>
      <c r="I390" s="20" t="inlineStr">
        <is>
          <t>PENDING</t>
        </is>
      </c>
      <c r="J390" s="20" t="inlineStr">
        <is>
          <t>PENDING</t>
        </is>
      </c>
      <c r="K390" s="20" t="inlineStr">
        <is>
          <t>待确认</t>
        </is>
      </c>
      <c r="L390" s="20">
        <f>IF(B390="","",IF(OR(F390="FAIL",K390="泄漏"),"DROP",IF(G390="FAIL","RELABEL",IF(OR(H390="FAIL",I390="FAIL",J390="FAIL"),"REWORK",IF(COUNTIF(F390:J390,"PENDING")&gt;0,"PENDING","REUSE")))))</f>
        <v/>
      </c>
      <c r="M390" s="20" t="inlineStr">
        <is>
          <t>PENDING</t>
        </is>
      </c>
      <c r="N390" s="20" t="str"/>
      <c r="O390" s="20" t="str"/>
      <c r="P390" s="20" t="str"/>
      <c r="Q390" s="20" t="inlineStr">
        <is>
          <t>待确认</t>
        </is>
      </c>
      <c r="R390" s="20" t="inlineStr">
        <is>
          <t>未开始</t>
        </is>
      </c>
      <c r="S390">
        <f>IF(B390="","",IF(E390="已暴露","DEV_REG_ONLY","ANY"))</f>
        <v/>
      </c>
    </row>
    <row r="391">
      <c r="A391" s="20" t="n">
        <v>388</v>
      </c>
      <c r="B391" s="20" t="str"/>
      <c r="C391" s="20" t="str"/>
      <c r="D391" s="20" t="str"/>
      <c r="E391" s="20" t="str"/>
      <c r="F391" s="20" t="inlineStr">
        <is>
          <t>PENDING</t>
        </is>
      </c>
      <c r="G391" s="20" t="inlineStr">
        <is>
          <t>PENDING</t>
        </is>
      </c>
      <c r="H391" s="20" t="inlineStr">
        <is>
          <t>PENDING</t>
        </is>
      </c>
      <c r="I391" s="20" t="inlineStr">
        <is>
          <t>PENDING</t>
        </is>
      </c>
      <c r="J391" s="20" t="inlineStr">
        <is>
          <t>PENDING</t>
        </is>
      </c>
      <c r="K391" s="20" t="inlineStr">
        <is>
          <t>待确认</t>
        </is>
      </c>
      <c r="L391" s="20">
        <f>IF(B391="","",IF(OR(F391="FAIL",K391="泄漏"),"DROP",IF(G391="FAIL","RELABEL",IF(OR(H391="FAIL",I391="FAIL",J391="FAIL"),"REWORK",IF(COUNTIF(F391:J391,"PENDING")&gt;0,"PENDING","REUSE")))))</f>
        <v/>
      </c>
      <c r="M391" s="20" t="inlineStr">
        <is>
          <t>PENDING</t>
        </is>
      </c>
      <c r="N391" s="20" t="str"/>
      <c r="O391" s="20" t="str"/>
      <c r="P391" s="20" t="str"/>
      <c r="Q391" s="20" t="inlineStr">
        <is>
          <t>待确认</t>
        </is>
      </c>
      <c r="R391" s="20" t="inlineStr">
        <is>
          <t>未开始</t>
        </is>
      </c>
      <c r="S391">
        <f>IF(B391="","",IF(E391="已暴露","DEV_REG_ONLY","ANY"))</f>
        <v/>
      </c>
    </row>
    <row r="392">
      <c r="A392" s="20" t="n">
        <v>389</v>
      </c>
      <c r="B392" s="20" t="str"/>
      <c r="C392" s="20" t="str"/>
      <c r="D392" s="20" t="str"/>
      <c r="E392" s="20" t="str"/>
      <c r="F392" s="20" t="inlineStr">
        <is>
          <t>PENDING</t>
        </is>
      </c>
      <c r="G392" s="20" t="inlineStr">
        <is>
          <t>PENDING</t>
        </is>
      </c>
      <c r="H392" s="20" t="inlineStr">
        <is>
          <t>PENDING</t>
        </is>
      </c>
      <c r="I392" s="20" t="inlineStr">
        <is>
          <t>PENDING</t>
        </is>
      </c>
      <c r="J392" s="20" t="inlineStr">
        <is>
          <t>PENDING</t>
        </is>
      </c>
      <c r="K392" s="20" t="inlineStr">
        <is>
          <t>待确认</t>
        </is>
      </c>
      <c r="L392" s="20">
        <f>IF(B392="","",IF(OR(F392="FAIL",K392="泄漏"),"DROP",IF(G392="FAIL","RELABEL",IF(OR(H392="FAIL",I392="FAIL",J392="FAIL"),"REWORK",IF(COUNTIF(F392:J392,"PENDING")&gt;0,"PENDING","REUSE")))))</f>
        <v/>
      </c>
      <c r="M392" s="20" t="inlineStr">
        <is>
          <t>PENDING</t>
        </is>
      </c>
      <c r="N392" s="20" t="str"/>
      <c r="O392" s="20" t="str"/>
      <c r="P392" s="20" t="str"/>
      <c r="Q392" s="20" t="inlineStr">
        <is>
          <t>待确认</t>
        </is>
      </c>
      <c r="R392" s="20" t="inlineStr">
        <is>
          <t>未开始</t>
        </is>
      </c>
      <c r="S392">
        <f>IF(B392="","",IF(E392="已暴露","DEV_REG_ONLY","ANY"))</f>
        <v/>
      </c>
    </row>
    <row r="393">
      <c r="A393" s="20" t="n">
        <v>390</v>
      </c>
      <c r="B393" s="20" t="str"/>
      <c r="C393" s="20" t="str"/>
      <c r="D393" s="20" t="str"/>
      <c r="E393" s="20" t="str"/>
      <c r="F393" s="20" t="inlineStr">
        <is>
          <t>PENDING</t>
        </is>
      </c>
      <c r="G393" s="20" t="inlineStr">
        <is>
          <t>PENDING</t>
        </is>
      </c>
      <c r="H393" s="20" t="inlineStr">
        <is>
          <t>PENDING</t>
        </is>
      </c>
      <c r="I393" s="20" t="inlineStr">
        <is>
          <t>PENDING</t>
        </is>
      </c>
      <c r="J393" s="20" t="inlineStr">
        <is>
          <t>PENDING</t>
        </is>
      </c>
      <c r="K393" s="20" t="inlineStr">
        <is>
          <t>待确认</t>
        </is>
      </c>
      <c r="L393" s="20">
        <f>IF(B393="","",IF(OR(F393="FAIL",K393="泄漏"),"DROP",IF(G393="FAIL","RELABEL",IF(OR(H393="FAIL",I393="FAIL",J393="FAIL"),"REWORK",IF(COUNTIF(F393:J393,"PENDING")&gt;0,"PENDING","REUSE")))))</f>
        <v/>
      </c>
      <c r="M393" s="20" t="inlineStr">
        <is>
          <t>PENDING</t>
        </is>
      </c>
      <c r="N393" s="20" t="str"/>
      <c r="O393" s="20" t="str"/>
      <c r="P393" s="20" t="str"/>
      <c r="Q393" s="20" t="inlineStr">
        <is>
          <t>待确认</t>
        </is>
      </c>
      <c r="R393" s="20" t="inlineStr">
        <is>
          <t>未开始</t>
        </is>
      </c>
      <c r="S393">
        <f>IF(B393="","",IF(E393="已暴露","DEV_REG_ONLY","ANY"))</f>
        <v/>
      </c>
    </row>
    <row r="394">
      <c r="A394" s="20" t="n">
        <v>391</v>
      </c>
      <c r="B394" s="20" t="str"/>
      <c r="C394" s="20" t="str"/>
      <c r="D394" s="20" t="str"/>
      <c r="E394" s="20" t="str"/>
      <c r="F394" s="20" t="inlineStr">
        <is>
          <t>PENDING</t>
        </is>
      </c>
      <c r="G394" s="20" t="inlineStr">
        <is>
          <t>PENDING</t>
        </is>
      </c>
      <c r="H394" s="20" t="inlineStr">
        <is>
          <t>PENDING</t>
        </is>
      </c>
      <c r="I394" s="20" t="inlineStr">
        <is>
          <t>PENDING</t>
        </is>
      </c>
      <c r="J394" s="20" t="inlineStr">
        <is>
          <t>PENDING</t>
        </is>
      </c>
      <c r="K394" s="20" t="inlineStr">
        <is>
          <t>待确认</t>
        </is>
      </c>
      <c r="L394" s="20">
        <f>IF(B394="","",IF(OR(F394="FAIL",K394="泄漏"),"DROP",IF(G394="FAIL","RELABEL",IF(OR(H394="FAIL",I394="FAIL",J394="FAIL"),"REWORK",IF(COUNTIF(F394:J394,"PENDING")&gt;0,"PENDING","REUSE")))))</f>
        <v/>
      </c>
      <c r="M394" s="20" t="inlineStr">
        <is>
          <t>PENDING</t>
        </is>
      </c>
      <c r="N394" s="20" t="str"/>
      <c r="O394" s="20" t="str"/>
      <c r="P394" s="20" t="str"/>
      <c r="Q394" s="20" t="inlineStr">
        <is>
          <t>待确认</t>
        </is>
      </c>
      <c r="R394" s="20" t="inlineStr">
        <is>
          <t>未开始</t>
        </is>
      </c>
      <c r="S394">
        <f>IF(B394="","",IF(E394="已暴露","DEV_REG_ONLY","ANY"))</f>
        <v/>
      </c>
    </row>
    <row r="395">
      <c r="A395" s="20" t="n">
        <v>392</v>
      </c>
      <c r="B395" s="20" t="str"/>
      <c r="C395" s="20" t="str"/>
      <c r="D395" s="20" t="str"/>
      <c r="E395" s="20" t="str"/>
      <c r="F395" s="20" t="inlineStr">
        <is>
          <t>PENDING</t>
        </is>
      </c>
      <c r="G395" s="20" t="inlineStr">
        <is>
          <t>PENDING</t>
        </is>
      </c>
      <c r="H395" s="20" t="inlineStr">
        <is>
          <t>PENDING</t>
        </is>
      </c>
      <c r="I395" s="20" t="inlineStr">
        <is>
          <t>PENDING</t>
        </is>
      </c>
      <c r="J395" s="20" t="inlineStr">
        <is>
          <t>PENDING</t>
        </is>
      </c>
      <c r="K395" s="20" t="inlineStr">
        <is>
          <t>待确认</t>
        </is>
      </c>
      <c r="L395" s="20">
        <f>IF(B395="","",IF(OR(F395="FAIL",K395="泄漏"),"DROP",IF(G395="FAIL","RELABEL",IF(OR(H395="FAIL",I395="FAIL",J395="FAIL"),"REWORK",IF(COUNTIF(F395:J395,"PENDING")&gt;0,"PENDING","REUSE")))))</f>
        <v/>
      </c>
      <c r="M395" s="20" t="inlineStr">
        <is>
          <t>PENDING</t>
        </is>
      </c>
      <c r="N395" s="20" t="str"/>
      <c r="O395" s="20" t="str"/>
      <c r="P395" s="20" t="str"/>
      <c r="Q395" s="20" t="inlineStr">
        <is>
          <t>待确认</t>
        </is>
      </c>
      <c r="R395" s="20" t="inlineStr">
        <is>
          <t>未开始</t>
        </is>
      </c>
      <c r="S395">
        <f>IF(B395="","",IF(E395="已暴露","DEV_REG_ONLY","ANY"))</f>
        <v/>
      </c>
    </row>
    <row r="396">
      <c r="A396" s="20" t="n">
        <v>393</v>
      </c>
      <c r="B396" s="20" t="str"/>
      <c r="C396" s="20" t="str"/>
      <c r="D396" s="20" t="str"/>
      <c r="E396" s="20" t="str"/>
      <c r="F396" s="20" t="inlineStr">
        <is>
          <t>PENDING</t>
        </is>
      </c>
      <c r="G396" s="20" t="inlineStr">
        <is>
          <t>PENDING</t>
        </is>
      </c>
      <c r="H396" s="20" t="inlineStr">
        <is>
          <t>PENDING</t>
        </is>
      </c>
      <c r="I396" s="20" t="inlineStr">
        <is>
          <t>PENDING</t>
        </is>
      </c>
      <c r="J396" s="20" t="inlineStr">
        <is>
          <t>PENDING</t>
        </is>
      </c>
      <c r="K396" s="20" t="inlineStr">
        <is>
          <t>待确认</t>
        </is>
      </c>
      <c r="L396" s="20">
        <f>IF(B396="","",IF(OR(F396="FAIL",K396="泄漏"),"DROP",IF(G396="FAIL","RELABEL",IF(OR(H396="FAIL",I396="FAIL",J396="FAIL"),"REWORK",IF(COUNTIF(F396:J396,"PENDING")&gt;0,"PENDING","REUSE")))))</f>
        <v/>
      </c>
      <c r="M396" s="20" t="inlineStr">
        <is>
          <t>PENDING</t>
        </is>
      </c>
      <c r="N396" s="20" t="str"/>
      <c r="O396" s="20" t="str"/>
      <c r="P396" s="20" t="str"/>
      <c r="Q396" s="20" t="inlineStr">
        <is>
          <t>待确认</t>
        </is>
      </c>
      <c r="R396" s="20" t="inlineStr">
        <is>
          <t>未开始</t>
        </is>
      </c>
      <c r="S396">
        <f>IF(B396="","",IF(E396="已暴露","DEV_REG_ONLY","ANY"))</f>
        <v/>
      </c>
    </row>
    <row r="397">
      <c r="A397" s="20" t="n">
        <v>394</v>
      </c>
      <c r="B397" s="20" t="str"/>
      <c r="C397" s="20" t="str"/>
      <c r="D397" s="20" t="str"/>
      <c r="E397" s="20" t="str"/>
      <c r="F397" s="20" t="inlineStr">
        <is>
          <t>PENDING</t>
        </is>
      </c>
      <c r="G397" s="20" t="inlineStr">
        <is>
          <t>PENDING</t>
        </is>
      </c>
      <c r="H397" s="20" t="inlineStr">
        <is>
          <t>PENDING</t>
        </is>
      </c>
      <c r="I397" s="20" t="inlineStr">
        <is>
          <t>PENDING</t>
        </is>
      </c>
      <c r="J397" s="20" t="inlineStr">
        <is>
          <t>PENDING</t>
        </is>
      </c>
      <c r="K397" s="20" t="inlineStr">
        <is>
          <t>待确认</t>
        </is>
      </c>
      <c r="L397" s="20">
        <f>IF(B397="","",IF(OR(F397="FAIL",K397="泄漏"),"DROP",IF(G397="FAIL","RELABEL",IF(OR(H397="FAIL",I397="FAIL",J397="FAIL"),"REWORK",IF(COUNTIF(F397:J397,"PENDING")&gt;0,"PENDING","REUSE")))))</f>
        <v/>
      </c>
      <c r="M397" s="20" t="inlineStr">
        <is>
          <t>PENDING</t>
        </is>
      </c>
      <c r="N397" s="20" t="str"/>
      <c r="O397" s="20" t="str"/>
      <c r="P397" s="20" t="str"/>
      <c r="Q397" s="20" t="inlineStr">
        <is>
          <t>待确认</t>
        </is>
      </c>
      <c r="R397" s="20" t="inlineStr">
        <is>
          <t>未开始</t>
        </is>
      </c>
      <c r="S397">
        <f>IF(B397="","",IF(E397="已暴露","DEV_REG_ONLY","ANY"))</f>
        <v/>
      </c>
    </row>
    <row r="398">
      <c r="A398" s="20" t="n">
        <v>395</v>
      </c>
      <c r="B398" s="20" t="str"/>
      <c r="C398" s="20" t="str"/>
      <c r="D398" s="20" t="str"/>
      <c r="E398" s="20" t="str"/>
      <c r="F398" s="20" t="inlineStr">
        <is>
          <t>PENDING</t>
        </is>
      </c>
      <c r="G398" s="20" t="inlineStr">
        <is>
          <t>PENDING</t>
        </is>
      </c>
      <c r="H398" s="20" t="inlineStr">
        <is>
          <t>PENDING</t>
        </is>
      </c>
      <c r="I398" s="20" t="inlineStr">
        <is>
          <t>PENDING</t>
        </is>
      </c>
      <c r="J398" s="20" t="inlineStr">
        <is>
          <t>PENDING</t>
        </is>
      </c>
      <c r="K398" s="20" t="inlineStr">
        <is>
          <t>待确认</t>
        </is>
      </c>
      <c r="L398" s="20">
        <f>IF(B398="","",IF(OR(F398="FAIL",K398="泄漏"),"DROP",IF(G398="FAIL","RELABEL",IF(OR(H398="FAIL",I398="FAIL",J398="FAIL"),"REWORK",IF(COUNTIF(F398:J398,"PENDING")&gt;0,"PENDING","REUSE")))))</f>
        <v/>
      </c>
      <c r="M398" s="20" t="inlineStr">
        <is>
          <t>PENDING</t>
        </is>
      </c>
      <c r="N398" s="20" t="str"/>
      <c r="O398" s="20" t="str"/>
      <c r="P398" s="20" t="str"/>
      <c r="Q398" s="20" t="inlineStr">
        <is>
          <t>待确认</t>
        </is>
      </c>
      <c r="R398" s="20" t="inlineStr">
        <is>
          <t>未开始</t>
        </is>
      </c>
      <c r="S398">
        <f>IF(B398="","",IF(E398="已暴露","DEV_REG_ONLY","ANY"))</f>
        <v/>
      </c>
    </row>
    <row r="399">
      <c r="A399" s="20" t="n">
        <v>396</v>
      </c>
      <c r="B399" s="20" t="str"/>
      <c r="C399" s="20" t="str"/>
      <c r="D399" s="20" t="str"/>
      <c r="E399" s="20" t="str"/>
      <c r="F399" s="20" t="inlineStr">
        <is>
          <t>PENDING</t>
        </is>
      </c>
      <c r="G399" s="20" t="inlineStr">
        <is>
          <t>PENDING</t>
        </is>
      </c>
      <c r="H399" s="20" t="inlineStr">
        <is>
          <t>PENDING</t>
        </is>
      </c>
      <c r="I399" s="20" t="inlineStr">
        <is>
          <t>PENDING</t>
        </is>
      </c>
      <c r="J399" s="20" t="inlineStr">
        <is>
          <t>PENDING</t>
        </is>
      </c>
      <c r="K399" s="20" t="inlineStr">
        <is>
          <t>待确认</t>
        </is>
      </c>
      <c r="L399" s="20">
        <f>IF(B399="","",IF(OR(F399="FAIL",K399="泄漏"),"DROP",IF(G399="FAIL","RELABEL",IF(OR(H399="FAIL",I399="FAIL",J399="FAIL"),"REWORK",IF(COUNTIF(F399:J399,"PENDING")&gt;0,"PENDING","REUSE")))))</f>
        <v/>
      </c>
      <c r="M399" s="20" t="inlineStr">
        <is>
          <t>PENDING</t>
        </is>
      </c>
      <c r="N399" s="20" t="str"/>
      <c r="O399" s="20" t="str"/>
      <c r="P399" s="20" t="str"/>
      <c r="Q399" s="20" t="inlineStr">
        <is>
          <t>待确认</t>
        </is>
      </c>
      <c r="R399" s="20" t="inlineStr">
        <is>
          <t>未开始</t>
        </is>
      </c>
      <c r="S399">
        <f>IF(B399="","",IF(E399="已暴露","DEV_REG_ONLY","ANY"))</f>
        <v/>
      </c>
    </row>
    <row r="400">
      <c r="A400" s="20" t="n">
        <v>397</v>
      </c>
      <c r="B400" s="20" t="str"/>
      <c r="C400" s="20" t="str"/>
      <c r="D400" s="20" t="str"/>
      <c r="E400" s="20" t="str"/>
      <c r="F400" s="20" t="inlineStr">
        <is>
          <t>PENDING</t>
        </is>
      </c>
      <c r="G400" s="20" t="inlineStr">
        <is>
          <t>PENDING</t>
        </is>
      </c>
      <c r="H400" s="20" t="inlineStr">
        <is>
          <t>PENDING</t>
        </is>
      </c>
      <c r="I400" s="20" t="inlineStr">
        <is>
          <t>PENDING</t>
        </is>
      </c>
      <c r="J400" s="20" t="inlineStr">
        <is>
          <t>PENDING</t>
        </is>
      </c>
      <c r="K400" s="20" t="inlineStr">
        <is>
          <t>待确认</t>
        </is>
      </c>
      <c r="L400" s="20">
        <f>IF(B400="","",IF(OR(F400="FAIL",K400="泄漏"),"DROP",IF(G400="FAIL","RELABEL",IF(OR(H400="FAIL",I400="FAIL",J400="FAIL"),"REWORK",IF(COUNTIF(F400:J400,"PENDING")&gt;0,"PENDING","REUSE")))))</f>
        <v/>
      </c>
      <c r="M400" s="20" t="inlineStr">
        <is>
          <t>PENDING</t>
        </is>
      </c>
      <c r="N400" s="20" t="str"/>
      <c r="O400" s="20" t="str"/>
      <c r="P400" s="20" t="str"/>
      <c r="Q400" s="20" t="inlineStr">
        <is>
          <t>待确认</t>
        </is>
      </c>
      <c r="R400" s="20" t="inlineStr">
        <is>
          <t>未开始</t>
        </is>
      </c>
      <c r="S400">
        <f>IF(B400="","",IF(E400="已暴露","DEV_REG_ONLY","ANY"))</f>
        <v/>
      </c>
    </row>
    <row r="401">
      <c r="A401" s="20" t="n">
        <v>398</v>
      </c>
      <c r="B401" s="20" t="str"/>
      <c r="C401" s="20" t="str"/>
      <c r="D401" s="20" t="str"/>
      <c r="E401" s="20" t="str"/>
      <c r="F401" s="20" t="inlineStr">
        <is>
          <t>PENDING</t>
        </is>
      </c>
      <c r="G401" s="20" t="inlineStr">
        <is>
          <t>PENDING</t>
        </is>
      </c>
      <c r="H401" s="20" t="inlineStr">
        <is>
          <t>PENDING</t>
        </is>
      </c>
      <c r="I401" s="20" t="inlineStr">
        <is>
          <t>PENDING</t>
        </is>
      </c>
      <c r="J401" s="20" t="inlineStr">
        <is>
          <t>PENDING</t>
        </is>
      </c>
      <c r="K401" s="20" t="inlineStr">
        <is>
          <t>待确认</t>
        </is>
      </c>
      <c r="L401" s="20">
        <f>IF(B401="","",IF(OR(F401="FAIL",K401="泄漏"),"DROP",IF(G401="FAIL","RELABEL",IF(OR(H401="FAIL",I401="FAIL",J401="FAIL"),"REWORK",IF(COUNTIF(F401:J401,"PENDING")&gt;0,"PENDING","REUSE")))))</f>
        <v/>
      </c>
      <c r="M401" s="20" t="inlineStr">
        <is>
          <t>PENDING</t>
        </is>
      </c>
      <c r="N401" s="20" t="str"/>
      <c r="O401" s="20" t="str"/>
      <c r="P401" s="20" t="str"/>
      <c r="Q401" s="20" t="inlineStr">
        <is>
          <t>待确认</t>
        </is>
      </c>
      <c r="R401" s="20" t="inlineStr">
        <is>
          <t>未开始</t>
        </is>
      </c>
      <c r="S401">
        <f>IF(B401="","",IF(E401="已暴露","DEV_REG_ONLY","ANY"))</f>
        <v/>
      </c>
    </row>
    <row r="402">
      <c r="A402" s="20" t="n">
        <v>399</v>
      </c>
      <c r="B402" s="20" t="str"/>
      <c r="C402" s="20" t="str"/>
      <c r="D402" s="20" t="str"/>
      <c r="E402" s="20" t="str"/>
      <c r="F402" s="20" t="inlineStr">
        <is>
          <t>PENDING</t>
        </is>
      </c>
      <c r="G402" s="20" t="inlineStr">
        <is>
          <t>PENDING</t>
        </is>
      </c>
      <c r="H402" s="20" t="inlineStr">
        <is>
          <t>PENDING</t>
        </is>
      </c>
      <c r="I402" s="20" t="inlineStr">
        <is>
          <t>PENDING</t>
        </is>
      </c>
      <c r="J402" s="20" t="inlineStr">
        <is>
          <t>PENDING</t>
        </is>
      </c>
      <c r="K402" s="20" t="inlineStr">
        <is>
          <t>待确认</t>
        </is>
      </c>
      <c r="L402" s="20">
        <f>IF(B402="","",IF(OR(F402="FAIL",K402="泄漏"),"DROP",IF(G402="FAIL","RELABEL",IF(OR(H402="FAIL",I402="FAIL",J402="FAIL"),"REWORK",IF(COUNTIF(F402:J402,"PENDING")&gt;0,"PENDING","REUSE")))))</f>
        <v/>
      </c>
      <c r="M402" s="20" t="inlineStr">
        <is>
          <t>PENDING</t>
        </is>
      </c>
      <c r="N402" s="20" t="str"/>
      <c r="O402" s="20" t="str"/>
      <c r="P402" s="20" t="str"/>
      <c r="Q402" s="20" t="inlineStr">
        <is>
          <t>待确认</t>
        </is>
      </c>
      <c r="R402" s="20" t="inlineStr">
        <is>
          <t>未开始</t>
        </is>
      </c>
      <c r="S402">
        <f>IF(B402="","",IF(E402="已暴露","DEV_REG_ONLY","ANY"))</f>
        <v/>
      </c>
    </row>
    <row r="403">
      <c r="A403" s="20" t="n">
        <v>400</v>
      </c>
      <c r="B403" s="20" t="str"/>
      <c r="C403" s="20" t="str"/>
      <c r="D403" s="20" t="str"/>
      <c r="E403" s="20" t="str"/>
      <c r="F403" s="20" t="inlineStr">
        <is>
          <t>PENDING</t>
        </is>
      </c>
      <c r="G403" s="20" t="inlineStr">
        <is>
          <t>PENDING</t>
        </is>
      </c>
      <c r="H403" s="20" t="inlineStr">
        <is>
          <t>PENDING</t>
        </is>
      </c>
      <c r="I403" s="20" t="inlineStr">
        <is>
          <t>PENDING</t>
        </is>
      </c>
      <c r="J403" s="20" t="inlineStr">
        <is>
          <t>PENDING</t>
        </is>
      </c>
      <c r="K403" s="20" t="inlineStr">
        <is>
          <t>待确认</t>
        </is>
      </c>
      <c r="L403" s="20">
        <f>IF(B403="","",IF(OR(F403="FAIL",K403="泄漏"),"DROP",IF(G403="FAIL","RELABEL",IF(OR(H403="FAIL",I403="FAIL",J403="FAIL"),"REWORK",IF(COUNTIF(F403:J403,"PENDING")&gt;0,"PENDING","REUSE")))))</f>
        <v/>
      </c>
      <c r="M403" s="20" t="inlineStr">
        <is>
          <t>PENDING</t>
        </is>
      </c>
      <c r="N403" s="20" t="str"/>
      <c r="O403" s="20" t="str"/>
      <c r="P403" s="20" t="str"/>
      <c r="Q403" s="20" t="inlineStr">
        <is>
          <t>待确认</t>
        </is>
      </c>
      <c r="R403" s="20" t="inlineStr">
        <is>
          <t>未开始</t>
        </is>
      </c>
      <c r="S403">
        <f>IF(B403="","",IF(E403="已暴露","DEV_REG_ONLY","ANY"))</f>
        <v/>
      </c>
    </row>
    <row r="404">
      <c r="A404" s="20" t="n">
        <v>401</v>
      </c>
      <c r="B404" s="20" t="str"/>
      <c r="C404" s="20" t="str"/>
      <c r="D404" s="20" t="str"/>
      <c r="E404" s="20" t="str"/>
      <c r="F404" s="20" t="inlineStr">
        <is>
          <t>PENDING</t>
        </is>
      </c>
      <c r="G404" s="20" t="inlineStr">
        <is>
          <t>PENDING</t>
        </is>
      </c>
      <c r="H404" s="20" t="inlineStr">
        <is>
          <t>PENDING</t>
        </is>
      </c>
      <c r="I404" s="20" t="inlineStr">
        <is>
          <t>PENDING</t>
        </is>
      </c>
      <c r="J404" s="20" t="inlineStr">
        <is>
          <t>PENDING</t>
        </is>
      </c>
      <c r="K404" s="20" t="inlineStr">
        <is>
          <t>待确认</t>
        </is>
      </c>
      <c r="L404" s="20">
        <f>IF(B404="","",IF(OR(F404="FAIL",K404="泄漏"),"DROP",IF(G404="FAIL","RELABEL",IF(OR(H404="FAIL",I404="FAIL",J404="FAIL"),"REWORK",IF(COUNTIF(F404:J404,"PENDING")&gt;0,"PENDING","REUSE")))))</f>
        <v/>
      </c>
      <c r="M404" s="20" t="inlineStr">
        <is>
          <t>PENDING</t>
        </is>
      </c>
      <c r="N404" s="20" t="str"/>
      <c r="O404" s="20" t="str"/>
      <c r="P404" s="20" t="str"/>
      <c r="Q404" s="20" t="inlineStr">
        <is>
          <t>待确认</t>
        </is>
      </c>
      <c r="R404" s="20" t="inlineStr">
        <is>
          <t>未开始</t>
        </is>
      </c>
      <c r="S404">
        <f>IF(B404="","",IF(E404="已暴露","DEV_REG_ONLY","ANY"))</f>
        <v/>
      </c>
    </row>
    <row r="405">
      <c r="A405" s="20" t="n">
        <v>402</v>
      </c>
      <c r="B405" s="20" t="str"/>
      <c r="C405" s="20" t="str"/>
      <c r="D405" s="20" t="str"/>
      <c r="E405" s="20" t="str"/>
      <c r="F405" s="20" t="inlineStr">
        <is>
          <t>PENDING</t>
        </is>
      </c>
      <c r="G405" s="20" t="inlineStr">
        <is>
          <t>PENDING</t>
        </is>
      </c>
      <c r="H405" s="20" t="inlineStr">
        <is>
          <t>PENDING</t>
        </is>
      </c>
      <c r="I405" s="20" t="inlineStr">
        <is>
          <t>PENDING</t>
        </is>
      </c>
      <c r="J405" s="20" t="inlineStr">
        <is>
          <t>PENDING</t>
        </is>
      </c>
      <c r="K405" s="20" t="inlineStr">
        <is>
          <t>待确认</t>
        </is>
      </c>
      <c r="L405" s="20">
        <f>IF(B405="","",IF(OR(F405="FAIL",K405="泄漏"),"DROP",IF(G405="FAIL","RELABEL",IF(OR(H405="FAIL",I405="FAIL",J405="FAIL"),"REWORK",IF(COUNTIF(F405:J405,"PENDING")&gt;0,"PENDING","REUSE")))))</f>
        <v/>
      </c>
      <c r="M405" s="20" t="inlineStr">
        <is>
          <t>PENDING</t>
        </is>
      </c>
      <c r="N405" s="20" t="str"/>
      <c r="O405" s="20" t="str"/>
      <c r="P405" s="20" t="str"/>
      <c r="Q405" s="20" t="inlineStr">
        <is>
          <t>待确认</t>
        </is>
      </c>
      <c r="R405" s="20" t="inlineStr">
        <is>
          <t>未开始</t>
        </is>
      </c>
      <c r="S405">
        <f>IF(B405="","",IF(E405="已暴露","DEV_REG_ONLY","ANY"))</f>
        <v/>
      </c>
    </row>
    <row r="406">
      <c r="A406" s="20" t="n">
        <v>403</v>
      </c>
      <c r="B406" s="20" t="str"/>
      <c r="C406" s="20" t="str"/>
      <c r="D406" s="20" t="str"/>
      <c r="E406" s="20" t="str"/>
      <c r="F406" s="20" t="inlineStr">
        <is>
          <t>PENDING</t>
        </is>
      </c>
      <c r="G406" s="20" t="inlineStr">
        <is>
          <t>PENDING</t>
        </is>
      </c>
      <c r="H406" s="20" t="inlineStr">
        <is>
          <t>PENDING</t>
        </is>
      </c>
      <c r="I406" s="20" t="inlineStr">
        <is>
          <t>PENDING</t>
        </is>
      </c>
      <c r="J406" s="20" t="inlineStr">
        <is>
          <t>PENDING</t>
        </is>
      </c>
      <c r="K406" s="20" t="inlineStr">
        <is>
          <t>待确认</t>
        </is>
      </c>
      <c r="L406" s="20">
        <f>IF(B406="","",IF(OR(F406="FAIL",K406="泄漏"),"DROP",IF(G406="FAIL","RELABEL",IF(OR(H406="FAIL",I406="FAIL",J406="FAIL"),"REWORK",IF(COUNTIF(F406:J406,"PENDING")&gt;0,"PENDING","REUSE")))))</f>
        <v/>
      </c>
      <c r="M406" s="20" t="inlineStr">
        <is>
          <t>PENDING</t>
        </is>
      </c>
      <c r="N406" s="20" t="str"/>
      <c r="O406" s="20" t="str"/>
      <c r="P406" s="20" t="str"/>
      <c r="Q406" s="20" t="inlineStr">
        <is>
          <t>待确认</t>
        </is>
      </c>
      <c r="R406" s="20" t="inlineStr">
        <is>
          <t>未开始</t>
        </is>
      </c>
      <c r="S406">
        <f>IF(B406="","",IF(E406="已暴露","DEV_REG_ONLY","ANY"))</f>
        <v/>
      </c>
    </row>
    <row r="407">
      <c r="A407" s="20" t="n">
        <v>404</v>
      </c>
      <c r="B407" s="20" t="str"/>
      <c r="C407" s="20" t="str"/>
      <c r="D407" s="20" t="str"/>
      <c r="E407" s="20" t="str"/>
      <c r="F407" s="20" t="inlineStr">
        <is>
          <t>PENDING</t>
        </is>
      </c>
      <c r="G407" s="20" t="inlineStr">
        <is>
          <t>PENDING</t>
        </is>
      </c>
      <c r="H407" s="20" t="inlineStr">
        <is>
          <t>PENDING</t>
        </is>
      </c>
      <c r="I407" s="20" t="inlineStr">
        <is>
          <t>PENDING</t>
        </is>
      </c>
      <c r="J407" s="20" t="inlineStr">
        <is>
          <t>PENDING</t>
        </is>
      </c>
      <c r="K407" s="20" t="inlineStr">
        <is>
          <t>待确认</t>
        </is>
      </c>
      <c r="L407" s="20">
        <f>IF(B407="","",IF(OR(F407="FAIL",K407="泄漏"),"DROP",IF(G407="FAIL","RELABEL",IF(OR(H407="FAIL",I407="FAIL",J407="FAIL"),"REWORK",IF(COUNTIF(F407:J407,"PENDING")&gt;0,"PENDING","REUSE")))))</f>
        <v/>
      </c>
      <c r="M407" s="20" t="inlineStr">
        <is>
          <t>PENDING</t>
        </is>
      </c>
      <c r="N407" s="20" t="str"/>
      <c r="O407" s="20" t="str"/>
      <c r="P407" s="20" t="str"/>
      <c r="Q407" s="20" t="inlineStr">
        <is>
          <t>待确认</t>
        </is>
      </c>
      <c r="R407" s="20" t="inlineStr">
        <is>
          <t>未开始</t>
        </is>
      </c>
      <c r="S407">
        <f>IF(B407="","",IF(E407="已暴露","DEV_REG_ONLY","ANY"))</f>
        <v/>
      </c>
    </row>
    <row r="408">
      <c r="A408" s="20" t="n">
        <v>405</v>
      </c>
      <c r="B408" s="20" t="str"/>
      <c r="C408" s="20" t="str"/>
      <c r="D408" s="20" t="str"/>
      <c r="E408" s="20" t="str"/>
      <c r="F408" s="20" t="inlineStr">
        <is>
          <t>PENDING</t>
        </is>
      </c>
      <c r="G408" s="20" t="inlineStr">
        <is>
          <t>PENDING</t>
        </is>
      </c>
      <c r="H408" s="20" t="inlineStr">
        <is>
          <t>PENDING</t>
        </is>
      </c>
      <c r="I408" s="20" t="inlineStr">
        <is>
          <t>PENDING</t>
        </is>
      </c>
      <c r="J408" s="20" t="inlineStr">
        <is>
          <t>PENDING</t>
        </is>
      </c>
      <c r="K408" s="20" t="inlineStr">
        <is>
          <t>待确认</t>
        </is>
      </c>
      <c r="L408" s="20">
        <f>IF(B408="","",IF(OR(F408="FAIL",K408="泄漏"),"DROP",IF(G408="FAIL","RELABEL",IF(OR(H408="FAIL",I408="FAIL",J408="FAIL"),"REWORK",IF(COUNTIF(F408:J408,"PENDING")&gt;0,"PENDING","REUSE")))))</f>
        <v/>
      </c>
      <c r="M408" s="20" t="inlineStr">
        <is>
          <t>PENDING</t>
        </is>
      </c>
      <c r="N408" s="20" t="str"/>
      <c r="O408" s="20" t="str"/>
      <c r="P408" s="20" t="str"/>
      <c r="Q408" s="20" t="inlineStr">
        <is>
          <t>待确认</t>
        </is>
      </c>
      <c r="R408" s="20" t="inlineStr">
        <is>
          <t>未开始</t>
        </is>
      </c>
      <c r="S408">
        <f>IF(B408="","",IF(E408="已暴露","DEV_REG_ONLY","ANY"))</f>
        <v/>
      </c>
    </row>
    <row r="409">
      <c r="A409" s="20" t="n">
        <v>406</v>
      </c>
      <c r="B409" s="20" t="str"/>
      <c r="C409" s="20" t="str"/>
      <c r="D409" s="20" t="str"/>
      <c r="E409" s="20" t="str"/>
      <c r="F409" s="20" t="inlineStr">
        <is>
          <t>PENDING</t>
        </is>
      </c>
      <c r="G409" s="20" t="inlineStr">
        <is>
          <t>PENDING</t>
        </is>
      </c>
      <c r="H409" s="20" t="inlineStr">
        <is>
          <t>PENDING</t>
        </is>
      </c>
      <c r="I409" s="20" t="inlineStr">
        <is>
          <t>PENDING</t>
        </is>
      </c>
      <c r="J409" s="20" t="inlineStr">
        <is>
          <t>PENDING</t>
        </is>
      </c>
      <c r="K409" s="20" t="inlineStr">
        <is>
          <t>待确认</t>
        </is>
      </c>
      <c r="L409" s="20">
        <f>IF(B409="","",IF(OR(F409="FAIL",K409="泄漏"),"DROP",IF(G409="FAIL","RELABEL",IF(OR(H409="FAIL",I409="FAIL",J409="FAIL"),"REWORK",IF(COUNTIF(F409:J409,"PENDING")&gt;0,"PENDING","REUSE")))))</f>
        <v/>
      </c>
      <c r="M409" s="20" t="inlineStr">
        <is>
          <t>PENDING</t>
        </is>
      </c>
      <c r="N409" s="20" t="str"/>
      <c r="O409" s="20" t="str"/>
      <c r="P409" s="20" t="str"/>
      <c r="Q409" s="20" t="inlineStr">
        <is>
          <t>待确认</t>
        </is>
      </c>
      <c r="R409" s="20" t="inlineStr">
        <is>
          <t>未开始</t>
        </is>
      </c>
      <c r="S409">
        <f>IF(B409="","",IF(E409="已暴露","DEV_REG_ONLY","ANY"))</f>
        <v/>
      </c>
    </row>
    <row r="410">
      <c r="A410" s="20" t="n">
        <v>407</v>
      </c>
      <c r="B410" s="20" t="str"/>
      <c r="C410" s="20" t="str"/>
      <c r="D410" s="20" t="str"/>
      <c r="E410" s="20" t="str"/>
      <c r="F410" s="20" t="inlineStr">
        <is>
          <t>PENDING</t>
        </is>
      </c>
      <c r="G410" s="20" t="inlineStr">
        <is>
          <t>PENDING</t>
        </is>
      </c>
      <c r="H410" s="20" t="inlineStr">
        <is>
          <t>PENDING</t>
        </is>
      </c>
      <c r="I410" s="20" t="inlineStr">
        <is>
          <t>PENDING</t>
        </is>
      </c>
      <c r="J410" s="20" t="inlineStr">
        <is>
          <t>PENDING</t>
        </is>
      </c>
      <c r="K410" s="20" t="inlineStr">
        <is>
          <t>待确认</t>
        </is>
      </c>
      <c r="L410" s="20">
        <f>IF(B410="","",IF(OR(F410="FAIL",K410="泄漏"),"DROP",IF(G410="FAIL","RELABEL",IF(OR(H410="FAIL",I410="FAIL",J410="FAIL"),"REWORK",IF(COUNTIF(F410:J410,"PENDING")&gt;0,"PENDING","REUSE")))))</f>
        <v/>
      </c>
      <c r="M410" s="20" t="inlineStr">
        <is>
          <t>PENDING</t>
        </is>
      </c>
      <c r="N410" s="20" t="str"/>
      <c r="O410" s="20" t="str"/>
      <c r="P410" s="20" t="str"/>
      <c r="Q410" s="20" t="inlineStr">
        <is>
          <t>待确认</t>
        </is>
      </c>
      <c r="R410" s="20" t="inlineStr">
        <is>
          <t>未开始</t>
        </is>
      </c>
      <c r="S410">
        <f>IF(B410="","",IF(E410="已暴露","DEV_REG_ONLY","ANY"))</f>
        <v/>
      </c>
    </row>
    <row r="411">
      <c r="A411" s="20" t="n">
        <v>408</v>
      </c>
      <c r="B411" s="20" t="str"/>
      <c r="C411" s="20" t="str"/>
      <c r="D411" s="20" t="str"/>
      <c r="E411" s="20" t="str"/>
      <c r="F411" s="20" t="inlineStr">
        <is>
          <t>PENDING</t>
        </is>
      </c>
      <c r="G411" s="20" t="inlineStr">
        <is>
          <t>PENDING</t>
        </is>
      </c>
      <c r="H411" s="20" t="inlineStr">
        <is>
          <t>PENDING</t>
        </is>
      </c>
      <c r="I411" s="20" t="inlineStr">
        <is>
          <t>PENDING</t>
        </is>
      </c>
      <c r="J411" s="20" t="inlineStr">
        <is>
          <t>PENDING</t>
        </is>
      </c>
      <c r="K411" s="20" t="inlineStr">
        <is>
          <t>待确认</t>
        </is>
      </c>
      <c r="L411" s="20">
        <f>IF(B411="","",IF(OR(F411="FAIL",K411="泄漏"),"DROP",IF(G411="FAIL","RELABEL",IF(OR(H411="FAIL",I411="FAIL",J411="FAIL"),"REWORK",IF(COUNTIF(F411:J411,"PENDING")&gt;0,"PENDING","REUSE")))))</f>
        <v/>
      </c>
      <c r="M411" s="20" t="inlineStr">
        <is>
          <t>PENDING</t>
        </is>
      </c>
      <c r="N411" s="20" t="str"/>
      <c r="O411" s="20" t="str"/>
      <c r="P411" s="20" t="str"/>
      <c r="Q411" s="20" t="inlineStr">
        <is>
          <t>待确认</t>
        </is>
      </c>
      <c r="R411" s="20" t="inlineStr">
        <is>
          <t>未开始</t>
        </is>
      </c>
      <c r="S411">
        <f>IF(B411="","",IF(E411="已暴露","DEV_REG_ONLY","ANY"))</f>
        <v/>
      </c>
    </row>
    <row r="412">
      <c r="A412" s="20" t="n">
        <v>409</v>
      </c>
      <c r="B412" s="20" t="str"/>
      <c r="C412" s="20" t="str"/>
      <c r="D412" s="20" t="str"/>
      <c r="E412" s="20" t="str"/>
      <c r="F412" s="20" t="inlineStr">
        <is>
          <t>PENDING</t>
        </is>
      </c>
      <c r="G412" s="20" t="inlineStr">
        <is>
          <t>PENDING</t>
        </is>
      </c>
      <c r="H412" s="20" t="inlineStr">
        <is>
          <t>PENDING</t>
        </is>
      </c>
      <c r="I412" s="20" t="inlineStr">
        <is>
          <t>PENDING</t>
        </is>
      </c>
      <c r="J412" s="20" t="inlineStr">
        <is>
          <t>PENDING</t>
        </is>
      </c>
      <c r="K412" s="20" t="inlineStr">
        <is>
          <t>待确认</t>
        </is>
      </c>
      <c r="L412" s="20">
        <f>IF(B412="","",IF(OR(F412="FAIL",K412="泄漏"),"DROP",IF(G412="FAIL","RELABEL",IF(OR(H412="FAIL",I412="FAIL",J412="FAIL"),"REWORK",IF(COUNTIF(F412:J412,"PENDING")&gt;0,"PENDING","REUSE")))))</f>
        <v/>
      </c>
      <c r="M412" s="20" t="inlineStr">
        <is>
          <t>PENDING</t>
        </is>
      </c>
      <c r="N412" s="20" t="str"/>
      <c r="O412" s="20" t="str"/>
      <c r="P412" s="20" t="str"/>
      <c r="Q412" s="20" t="inlineStr">
        <is>
          <t>待确认</t>
        </is>
      </c>
      <c r="R412" s="20" t="inlineStr">
        <is>
          <t>未开始</t>
        </is>
      </c>
      <c r="S412">
        <f>IF(B412="","",IF(E412="已暴露","DEV_REG_ONLY","ANY"))</f>
        <v/>
      </c>
    </row>
    <row r="413">
      <c r="A413" s="20" t="n">
        <v>410</v>
      </c>
      <c r="B413" s="20" t="str"/>
      <c r="C413" s="20" t="str"/>
      <c r="D413" s="20" t="str"/>
      <c r="E413" s="20" t="str"/>
      <c r="F413" s="20" t="inlineStr">
        <is>
          <t>PENDING</t>
        </is>
      </c>
      <c r="G413" s="20" t="inlineStr">
        <is>
          <t>PENDING</t>
        </is>
      </c>
      <c r="H413" s="20" t="inlineStr">
        <is>
          <t>PENDING</t>
        </is>
      </c>
      <c r="I413" s="20" t="inlineStr">
        <is>
          <t>PENDING</t>
        </is>
      </c>
      <c r="J413" s="20" t="inlineStr">
        <is>
          <t>PENDING</t>
        </is>
      </c>
      <c r="K413" s="20" t="inlineStr">
        <is>
          <t>待确认</t>
        </is>
      </c>
      <c r="L413" s="20">
        <f>IF(B413="","",IF(OR(F413="FAIL",K413="泄漏"),"DROP",IF(G413="FAIL","RELABEL",IF(OR(H413="FAIL",I413="FAIL",J413="FAIL"),"REWORK",IF(COUNTIF(F413:J413,"PENDING")&gt;0,"PENDING","REUSE")))))</f>
        <v/>
      </c>
      <c r="M413" s="20" t="inlineStr">
        <is>
          <t>PENDING</t>
        </is>
      </c>
      <c r="N413" s="20" t="str"/>
      <c r="O413" s="20" t="str"/>
      <c r="P413" s="20" t="str"/>
      <c r="Q413" s="20" t="inlineStr">
        <is>
          <t>待确认</t>
        </is>
      </c>
      <c r="R413" s="20" t="inlineStr">
        <is>
          <t>未开始</t>
        </is>
      </c>
      <c r="S413">
        <f>IF(B413="","",IF(E413="已暴露","DEV_REG_ONLY","ANY"))</f>
        <v/>
      </c>
    </row>
    <row r="414">
      <c r="A414" s="20" t="n">
        <v>411</v>
      </c>
      <c r="B414" s="20" t="str"/>
      <c r="C414" s="20" t="str"/>
      <c r="D414" s="20" t="str"/>
      <c r="E414" s="20" t="str"/>
      <c r="F414" s="20" t="inlineStr">
        <is>
          <t>PENDING</t>
        </is>
      </c>
      <c r="G414" s="20" t="inlineStr">
        <is>
          <t>PENDING</t>
        </is>
      </c>
      <c r="H414" s="20" t="inlineStr">
        <is>
          <t>PENDING</t>
        </is>
      </c>
      <c r="I414" s="20" t="inlineStr">
        <is>
          <t>PENDING</t>
        </is>
      </c>
      <c r="J414" s="20" t="inlineStr">
        <is>
          <t>PENDING</t>
        </is>
      </c>
      <c r="K414" s="20" t="inlineStr">
        <is>
          <t>待确认</t>
        </is>
      </c>
      <c r="L414" s="20">
        <f>IF(B414="","",IF(OR(F414="FAIL",K414="泄漏"),"DROP",IF(G414="FAIL","RELABEL",IF(OR(H414="FAIL",I414="FAIL",J414="FAIL"),"REWORK",IF(COUNTIF(F414:J414,"PENDING")&gt;0,"PENDING","REUSE")))))</f>
        <v/>
      </c>
      <c r="M414" s="20" t="inlineStr">
        <is>
          <t>PENDING</t>
        </is>
      </c>
      <c r="N414" s="20" t="str"/>
      <c r="O414" s="20" t="str"/>
      <c r="P414" s="20" t="str"/>
      <c r="Q414" s="20" t="inlineStr">
        <is>
          <t>待确认</t>
        </is>
      </c>
      <c r="R414" s="20" t="inlineStr">
        <is>
          <t>未开始</t>
        </is>
      </c>
      <c r="S414">
        <f>IF(B414="","",IF(E414="已暴露","DEV_REG_ONLY","ANY"))</f>
        <v/>
      </c>
    </row>
    <row r="415">
      <c r="A415" s="20" t="n">
        <v>412</v>
      </c>
      <c r="B415" s="20" t="str"/>
      <c r="C415" s="20" t="str"/>
      <c r="D415" s="20" t="str"/>
      <c r="E415" s="20" t="str"/>
      <c r="F415" s="20" t="inlineStr">
        <is>
          <t>PENDING</t>
        </is>
      </c>
      <c r="G415" s="20" t="inlineStr">
        <is>
          <t>PENDING</t>
        </is>
      </c>
      <c r="H415" s="20" t="inlineStr">
        <is>
          <t>PENDING</t>
        </is>
      </c>
      <c r="I415" s="20" t="inlineStr">
        <is>
          <t>PENDING</t>
        </is>
      </c>
      <c r="J415" s="20" t="inlineStr">
        <is>
          <t>PENDING</t>
        </is>
      </c>
      <c r="K415" s="20" t="inlineStr">
        <is>
          <t>待确认</t>
        </is>
      </c>
      <c r="L415" s="20">
        <f>IF(B415="","",IF(OR(F415="FAIL",K415="泄漏"),"DROP",IF(G415="FAIL","RELABEL",IF(OR(H415="FAIL",I415="FAIL",J415="FAIL"),"REWORK",IF(COUNTIF(F415:J415,"PENDING")&gt;0,"PENDING","REUSE")))))</f>
        <v/>
      </c>
      <c r="M415" s="20" t="inlineStr">
        <is>
          <t>PENDING</t>
        </is>
      </c>
      <c r="N415" s="20" t="str"/>
      <c r="O415" s="20" t="str"/>
      <c r="P415" s="20" t="str"/>
      <c r="Q415" s="20" t="inlineStr">
        <is>
          <t>待确认</t>
        </is>
      </c>
      <c r="R415" s="20" t="inlineStr">
        <is>
          <t>未开始</t>
        </is>
      </c>
      <c r="S415">
        <f>IF(B415="","",IF(E415="已暴露","DEV_REG_ONLY","ANY"))</f>
        <v/>
      </c>
    </row>
    <row r="416">
      <c r="A416" s="20" t="n">
        <v>413</v>
      </c>
      <c r="B416" s="20" t="str"/>
      <c r="C416" s="20" t="str"/>
      <c r="D416" s="20" t="str"/>
      <c r="E416" s="20" t="str"/>
      <c r="F416" s="20" t="inlineStr">
        <is>
          <t>PENDING</t>
        </is>
      </c>
      <c r="G416" s="20" t="inlineStr">
        <is>
          <t>PENDING</t>
        </is>
      </c>
      <c r="H416" s="20" t="inlineStr">
        <is>
          <t>PENDING</t>
        </is>
      </c>
      <c r="I416" s="20" t="inlineStr">
        <is>
          <t>PENDING</t>
        </is>
      </c>
      <c r="J416" s="20" t="inlineStr">
        <is>
          <t>PENDING</t>
        </is>
      </c>
      <c r="K416" s="20" t="inlineStr">
        <is>
          <t>待确认</t>
        </is>
      </c>
      <c r="L416" s="20">
        <f>IF(B416="","",IF(OR(F416="FAIL",K416="泄漏"),"DROP",IF(G416="FAIL","RELABEL",IF(OR(H416="FAIL",I416="FAIL",J416="FAIL"),"REWORK",IF(COUNTIF(F416:J416,"PENDING")&gt;0,"PENDING","REUSE")))))</f>
        <v/>
      </c>
      <c r="M416" s="20" t="inlineStr">
        <is>
          <t>PENDING</t>
        </is>
      </c>
      <c r="N416" s="20" t="str"/>
      <c r="O416" s="20" t="str"/>
      <c r="P416" s="20" t="str"/>
      <c r="Q416" s="20" t="inlineStr">
        <is>
          <t>待确认</t>
        </is>
      </c>
      <c r="R416" s="20" t="inlineStr">
        <is>
          <t>未开始</t>
        </is>
      </c>
      <c r="S416">
        <f>IF(B416="","",IF(E416="已暴露","DEV_REG_ONLY","ANY"))</f>
        <v/>
      </c>
    </row>
    <row r="417">
      <c r="A417" s="20" t="n">
        <v>414</v>
      </c>
      <c r="B417" s="20" t="str"/>
      <c r="C417" s="20" t="str"/>
      <c r="D417" s="20" t="str"/>
      <c r="E417" s="20" t="str"/>
      <c r="F417" s="20" t="inlineStr">
        <is>
          <t>PENDING</t>
        </is>
      </c>
      <c r="G417" s="20" t="inlineStr">
        <is>
          <t>PENDING</t>
        </is>
      </c>
      <c r="H417" s="20" t="inlineStr">
        <is>
          <t>PENDING</t>
        </is>
      </c>
      <c r="I417" s="20" t="inlineStr">
        <is>
          <t>PENDING</t>
        </is>
      </c>
      <c r="J417" s="20" t="inlineStr">
        <is>
          <t>PENDING</t>
        </is>
      </c>
      <c r="K417" s="20" t="inlineStr">
        <is>
          <t>待确认</t>
        </is>
      </c>
      <c r="L417" s="20">
        <f>IF(B417="","",IF(OR(F417="FAIL",K417="泄漏"),"DROP",IF(G417="FAIL","RELABEL",IF(OR(H417="FAIL",I417="FAIL",J417="FAIL"),"REWORK",IF(COUNTIF(F417:J417,"PENDING")&gt;0,"PENDING","REUSE")))))</f>
        <v/>
      </c>
      <c r="M417" s="20" t="inlineStr">
        <is>
          <t>PENDING</t>
        </is>
      </c>
      <c r="N417" s="20" t="str"/>
      <c r="O417" s="20" t="str"/>
      <c r="P417" s="20" t="str"/>
      <c r="Q417" s="20" t="inlineStr">
        <is>
          <t>待确认</t>
        </is>
      </c>
      <c r="R417" s="20" t="inlineStr">
        <is>
          <t>未开始</t>
        </is>
      </c>
      <c r="S417">
        <f>IF(B417="","",IF(E417="已暴露","DEV_REG_ONLY","ANY"))</f>
        <v/>
      </c>
    </row>
    <row r="418">
      <c r="A418" s="20" t="n">
        <v>415</v>
      </c>
      <c r="B418" s="20" t="str"/>
      <c r="C418" s="20" t="str"/>
      <c r="D418" s="20" t="str"/>
      <c r="E418" s="20" t="str"/>
      <c r="F418" s="20" t="inlineStr">
        <is>
          <t>PENDING</t>
        </is>
      </c>
      <c r="G418" s="20" t="inlineStr">
        <is>
          <t>PENDING</t>
        </is>
      </c>
      <c r="H418" s="20" t="inlineStr">
        <is>
          <t>PENDING</t>
        </is>
      </c>
      <c r="I418" s="20" t="inlineStr">
        <is>
          <t>PENDING</t>
        </is>
      </c>
      <c r="J418" s="20" t="inlineStr">
        <is>
          <t>PENDING</t>
        </is>
      </c>
      <c r="K418" s="20" t="inlineStr">
        <is>
          <t>待确认</t>
        </is>
      </c>
      <c r="L418" s="20">
        <f>IF(B418="","",IF(OR(F418="FAIL",K418="泄漏"),"DROP",IF(G418="FAIL","RELABEL",IF(OR(H418="FAIL",I418="FAIL",J418="FAIL"),"REWORK",IF(COUNTIF(F418:J418,"PENDING")&gt;0,"PENDING","REUSE")))))</f>
        <v/>
      </c>
      <c r="M418" s="20" t="inlineStr">
        <is>
          <t>PENDING</t>
        </is>
      </c>
      <c r="N418" s="20" t="str"/>
      <c r="O418" s="20" t="str"/>
      <c r="P418" s="20" t="str"/>
      <c r="Q418" s="20" t="inlineStr">
        <is>
          <t>待确认</t>
        </is>
      </c>
      <c r="R418" s="20" t="inlineStr">
        <is>
          <t>未开始</t>
        </is>
      </c>
      <c r="S418">
        <f>IF(B418="","",IF(E418="已暴露","DEV_REG_ONLY","ANY"))</f>
        <v/>
      </c>
    </row>
    <row r="419">
      <c r="A419" s="20" t="n">
        <v>416</v>
      </c>
      <c r="B419" s="20" t="str"/>
      <c r="C419" s="20" t="str"/>
      <c r="D419" s="20" t="str"/>
      <c r="E419" s="20" t="str"/>
      <c r="F419" s="20" t="inlineStr">
        <is>
          <t>PENDING</t>
        </is>
      </c>
      <c r="G419" s="20" t="inlineStr">
        <is>
          <t>PENDING</t>
        </is>
      </c>
      <c r="H419" s="20" t="inlineStr">
        <is>
          <t>PENDING</t>
        </is>
      </c>
      <c r="I419" s="20" t="inlineStr">
        <is>
          <t>PENDING</t>
        </is>
      </c>
      <c r="J419" s="20" t="inlineStr">
        <is>
          <t>PENDING</t>
        </is>
      </c>
      <c r="K419" s="20" t="inlineStr">
        <is>
          <t>待确认</t>
        </is>
      </c>
      <c r="L419" s="20">
        <f>IF(B419="","",IF(OR(F419="FAIL",K419="泄漏"),"DROP",IF(G419="FAIL","RELABEL",IF(OR(H419="FAIL",I419="FAIL",J419="FAIL"),"REWORK",IF(COUNTIF(F419:J419,"PENDING")&gt;0,"PENDING","REUSE")))))</f>
        <v/>
      </c>
      <c r="M419" s="20" t="inlineStr">
        <is>
          <t>PENDING</t>
        </is>
      </c>
      <c r="N419" s="20" t="str"/>
      <c r="O419" s="20" t="str"/>
      <c r="P419" s="20" t="str"/>
      <c r="Q419" s="20" t="inlineStr">
        <is>
          <t>待确认</t>
        </is>
      </c>
      <c r="R419" s="20" t="inlineStr">
        <is>
          <t>未开始</t>
        </is>
      </c>
      <c r="S419">
        <f>IF(B419="","",IF(E419="已暴露","DEV_REG_ONLY","ANY"))</f>
        <v/>
      </c>
    </row>
    <row r="420">
      <c r="A420" s="20" t="n">
        <v>417</v>
      </c>
      <c r="B420" s="20" t="str"/>
      <c r="C420" s="20" t="str"/>
      <c r="D420" s="20" t="str"/>
      <c r="E420" s="20" t="str"/>
      <c r="F420" s="20" t="inlineStr">
        <is>
          <t>PENDING</t>
        </is>
      </c>
      <c r="G420" s="20" t="inlineStr">
        <is>
          <t>PENDING</t>
        </is>
      </c>
      <c r="H420" s="20" t="inlineStr">
        <is>
          <t>PENDING</t>
        </is>
      </c>
      <c r="I420" s="20" t="inlineStr">
        <is>
          <t>PENDING</t>
        </is>
      </c>
      <c r="J420" s="20" t="inlineStr">
        <is>
          <t>PENDING</t>
        </is>
      </c>
      <c r="K420" s="20" t="inlineStr">
        <is>
          <t>待确认</t>
        </is>
      </c>
      <c r="L420" s="20">
        <f>IF(B420="","",IF(OR(F420="FAIL",K420="泄漏"),"DROP",IF(G420="FAIL","RELABEL",IF(OR(H420="FAIL",I420="FAIL",J420="FAIL"),"REWORK",IF(COUNTIF(F420:J420,"PENDING")&gt;0,"PENDING","REUSE")))))</f>
        <v/>
      </c>
      <c r="M420" s="20" t="inlineStr">
        <is>
          <t>PENDING</t>
        </is>
      </c>
      <c r="N420" s="20" t="str"/>
      <c r="O420" s="20" t="str"/>
      <c r="P420" s="20" t="str"/>
      <c r="Q420" s="20" t="inlineStr">
        <is>
          <t>待确认</t>
        </is>
      </c>
      <c r="R420" s="20" t="inlineStr">
        <is>
          <t>未开始</t>
        </is>
      </c>
      <c r="S420">
        <f>IF(B420="","",IF(E420="已暴露","DEV_REG_ONLY","ANY"))</f>
        <v/>
      </c>
    </row>
    <row r="421">
      <c r="A421" s="20" t="n">
        <v>418</v>
      </c>
      <c r="B421" s="20" t="str"/>
      <c r="C421" s="20" t="str"/>
      <c r="D421" s="20" t="str"/>
      <c r="E421" s="20" t="str"/>
      <c r="F421" s="20" t="inlineStr">
        <is>
          <t>PENDING</t>
        </is>
      </c>
      <c r="G421" s="20" t="inlineStr">
        <is>
          <t>PENDING</t>
        </is>
      </c>
      <c r="H421" s="20" t="inlineStr">
        <is>
          <t>PENDING</t>
        </is>
      </c>
      <c r="I421" s="20" t="inlineStr">
        <is>
          <t>PENDING</t>
        </is>
      </c>
      <c r="J421" s="20" t="inlineStr">
        <is>
          <t>PENDING</t>
        </is>
      </c>
      <c r="K421" s="20" t="inlineStr">
        <is>
          <t>待确认</t>
        </is>
      </c>
      <c r="L421" s="20">
        <f>IF(B421="","",IF(OR(F421="FAIL",K421="泄漏"),"DROP",IF(G421="FAIL","RELABEL",IF(OR(H421="FAIL",I421="FAIL",J421="FAIL"),"REWORK",IF(COUNTIF(F421:J421,"PENDING")&gt;0,"PENDING","REUSE")))))</f>
        <v/>
      </c>
      <c r="M421" s="20" t="inlineStr">
        <is>
          <t>PENDING</t>
        </is>
      </c>
      <c r="N421" s="20" t="str"/>
      <c r="O421" s="20" t="str"/>
      <c r="P421" s="20" t="str"/>
      <c r="Q421" s="20" t="inlineStr">
        <is>
          <t>待确认</t>
        </is>
      </c>
      <c r="R421" s="20" t="inlineStr">
        <is>
          <t>未开始</t>
        </is>
      </c>
      <c r="S421">
        <f>IF(B421="","",IF(E421="已暴露","DEV_REG_ONLY","ANY"))</f>
        <v/>
      </c>
    </row>
    <row r="422">
      <c r="A422" s="20" t="n">
        <v>419</v>
      </c>
      <c r="B422" s="20" t="str"/>
      <c r="C422" s="20" t="str"/>
      <c r="D422" s="20" t="str"/>
      <c r="E422" s="20" t="str"/>
      <c r="F422" s="20" t="inlineStr">
        <is>
          <t>PENDING</t>
        </is>
      </c>
      <c r="G422" s="20" t="inlineStr">
        <is>
          <t>PENDING</t>
        </is>
      </c>
      <c r="H422" s="20" t="inlineStr">
        <is>
          <t>PENDING</t>
        </is>
      </c>
      <c r="I422" s="20" t="inlineStr">
        <is>
          <t>PENDING</t>
        </is>
      </c>
      <c r="J422" s="20" t="inlineStr">
        <is>
          <t>PENDING</t>
        </is>
      </c>
      <c r="K422" s="20" t="inlineStr">
        <is>
          <t>待确认</t>
        </is>
      </c>
      <c r="L422" s="20">
        <f>IF(B422="","",IF(OR(F422="FAIL",K422="泄漏"),"DROP",IF(G422="FAIL","RELABEL",IF(OR(H422="FAIL",I422="FAIL",J422="FAIL"),"REWORK",IF(COUNTIF(F422:J422,"PENDING")&gt;0,"PENDING","REUSE")))))</f>
        <v/>
      </c>
      <c r="M422" s="20" t="inlineStr">
        <is>
          <t>PENDING</t>
        </is>
      </c>
      <c r="N422" s="20" t="str"/>
      <c r="O422" s="20" t="str"/>
      <c r="P422" s="20" t="str"/>
      <c r="Q422" s="20" t="inlineStr">
        <is>
          <t>待确认</t>
        </is>
      </c>
      <c r="R422" s="20" t="inlineStr">
        <is>
          <t>未开始</t>
        </is>
      </c>
      <c r="S422">
        <f>IF(B422="","",IF(E422="已暴露","DEV_REG_ONLY","ANY"))</f>
        <v/>
      </c>
    </row>
    <row r="423">
      <c r="A423" s="20" t="n">
        <v>420</v>
      </c>
      <c r="B423" s="20" t="str"/>
      <c r="C423" s="20" t="str"/>
      <c r="D423" s="20" t="str"/>
      <c r="E423" s="20" t="str"/>
      <c r="F423" s="20" t="inlineStr">
        <is>
          <t>PENDING</t>
        </is>
      </c>
      <c r="G423" s="20" t="inlineStr">
        <is>
          <t>PENDING</t>
        </is>
      </c>
      <c r="H423" s="20" t="inlineStr">
        <is>
          <t>PENDING</t>
        </is>
      </c>
      <c r="I423" s="20" t="inlineStr">
        <is>
          <t>PENDING</t>
        </is>
      </c>
      <c r="J423" s="20" t="inlineStr">
        <is>
          <t>PENDING</t>
        </is>
      </c>
      <c r="K423" s="20" t="inlineStr">
        <is>
          <t>待确认</t>
        </is>
      </c>
      <c r="L423" s="20">
        <f>IF(B423="","",IF(OR(F423="FAIL",K423="泄漏"),"DROP",IF(G423="FAIL","RELABEL",IF(OR(H423="FAIL",I423="FAIL",J423="FAIL"),"REWORK",IF(COUNTIF(F423:J423,"PENDING")&gt;0,"PENDING","REUSE")))))</f>
        <v/>
      </c>
      <c r="M423" s="20" t="inlineStr">
        <is>
          <t>PENDING</t>
        </is>
      </c>
      <c r="N423" s="20" t="str"/>
      <c r="O423" s="20" t="str"/>
      <c r="P423" s="20" t="str"/>
      <c r="Q423" s="20" t="inlineStr">
        <is>
          <t>待确认</t>
        </is>
      </c>
      <c r="R423" s="20" t="inlineStr">
        <is>
          <t>未开始</t>
        </is>
      </c>
      <c r="S423">
        <f>IF(B423="","",IF(E423="已暴露","DEV_REG_ONLY","ANY"))</f>
        <v/>
      </c>
    </row>
    <row r="424">
      <c r="A424" s="20" t="n">
        <v>421</v>
      </c>
      <c r="B424" s="20" t="str"/>
      <c r="C424" s="20" t="str"/>
      <c r="D424" s="20" t="str"/>
      <c r="E424" s="20" t="str"/>
      <c r="F424" s="20" t="inlineStr">
        <is>
          <t>PENDING</t>
        </is>
      </c>
      <c r="G424" s="20" t="inlineStr">
        <is>
          <t>PENDING</t>
        </is>
      </c>
      <c r="H424" s="20" t="inlineStr">
        <is>
          <t>PENDING</t>
        </is>
      </c>
      <c r="I424" s="20" t="inlineStr">
        <is>
          <t>PENDING</t>
        </is>
      </c>
      <c r="J424" s="20" t="inlineStr">
        <is>
          <t>PENDING</t>
        </is>
      </c>
      <c r="K424" s="20" t="inlineStr">
        <is>
          <t>待确认</t>
        </is>
      </c>
      <c r="L424" s="20">
        <f>IF(B424="","",IF(OR(F424="FAIL",K424="泄漏"),"DROP",IF(G424="FAIL","RELABEL",IF(OR(H424="FAIL",I424="FAIL",J424="FAIL"),"REWORK",IF(COUNTIF(F424:J424,"PENDING")&gt;0,"PENDING","REUSE")))))</f>
        <v/>
      </c>
      <c r="M424" s="20" t="inlineStr">
        <is>
          <t>PENDING</t>
        </is>
      </c>
      <c r="N424" s="20" t="str"/>
      <c r="O424" s="20" t="str"/>
      <c r="P424" s="20" t="str"/>
      <c r="Q424" s="20" t="inlineStr">
        <is>
          <t>待确认</t>
        </is>
      </c>
      <c r="R424" s="20" t="inlineStr">
        <is>
          <t>未开始</t>
        </is>
      </c>
      <c r="S424">
        <f>IF(B424="","",IF(E424="已暴露","DEV_REG_ONLY","ANY"))</f>
        <v/>
      </c>
    </row>
    <row r="425">
      <c r="A425" s="20" t="n">
        <v>422</v>
      </c>
      <c r="B425" s="20" t="str"/>
      <c r="C425" s="20" t="str"/>
      <c r="D425" s="20" t="str"/>
      <c r="E425" s="20" t="str"/>
      <c r="F425" s="20" t="inlineStr">
        <is>
          <t>PENDING</t>
        </is>
      </c>
      <c r="G425" s="20" t="inlineStr">
        <is>
          <t>PENDING</t>
        </is>
      </c>
      <c r="H425" s="20" t="inlineStr">
        <is>
          <t>PENDING</t>
        </is>
      </c>
      <c r="I425" s="20" t="inlineStr">
        <is>
          <t>PENDING</t>
        </is>
      </c>
      <c r="J425" s="20" t="inlineStr">
        <is>
          <t>PENDING</t>
        </is>
      </c>
      <c r="K425" s="20" t="inlineStr">
        <is>
          <t>待确认</t>
        </is>
      </c>
      <c r="L425" s="20">
        <f>IF(B425="","",IF(OR(F425="FAIL",K425="泄漏"),"DROP",IF(G425="FAIL","RELABEL",IF(OR(H425="FAIL",I425="FAIL",J425="FAIL"),"REWORK",IF(COUNTIF(F425:J425,"PENDING")&gt;0,"PENDING","REUSE")))))</f>
        <v/>
      </c>
      <c r="M425" s="20" t="inlineStr">
        <is>
          <t>PENDING</t>
        </is>
      </c>
      <c r="N425" s="20" t="str"/>
      <c r="O425" s="20" t="str"/>
      <c r="P425" s="20" t="str"/>
      <c r="Q425" s="20" t="inlineStr">
        <is>
          <t>待确认</t>
        </is>
      </c>
      <c r="R425" s="20" t="inlineStr">
        <is>
          <t>未开始</t>
        </is>
      </c>
      <c r="S425">
        <f>IF(B425="","",IF(E425="已暴露","DEV_REG_ONLY","ANY"))</f>
        <v/>
      </c>
    </row>
    <row r="426">
      <c r="A426" s="20" t="n">
        <v>423</v>
      </c>
      <c r="B426" s="20" t="str"/>
      <c r="C426" s="20" t="str"/>
      <c r="D426" s="20" t="str"/>
      <c r="E426" s="20" t="str"/>
      <c r="F426" s="20" t="inlineStr">
        <is>
          <t>PENDING</t>
        </is>
      </c>
      <c r="G426" s="20" t="inlineStr">
        <is>
          <t>PENDING</t>
        </is>
      </c>
      <c r="H426" s="20" t="inlineStr">
        <is>
          <t>PENDING</t>
        </is>
      </c>
      <c r="I426" s="20" t="inlineStr">
        <is>
          <t>PENDING</t>
        </is>
      </c>
      <c r="J426" s="20" t="inlineStr">
        <is>
          <t>PENDING</t>
        </is>
      </c>
      <c r="K426" s="20" t="inlineStr">
        <is>
          <t>待确认</t>
        </is>
      </c>
      <c r="L426" s="20">
        <f>IF(B426="","",IF(OR(F426="FAIL",K426="泄漏"),"DROP",IF(G426="FAIL","RELABEL",IF(OR(H426="FAIL",I426="FAIL",J426="FAIL"),"REWORK",IF(COUNTIF(F426:J426,"PENDING")&gt;0,"PENDING","REUSE")))))</f>
        <v/>
      </c>
      <c r="M426" s="20" t="inlineStr">
        <is>
          <t>PENDING</t>
        </is>
      </c>
      <c r="N426" s="20" t="str"/>
      <c r="O426" s="20" t="str"/>
      <c r="P426" s="20" t="str"/>
      <c r="Q426" s="20" t="inlineStr">
        <is>
          <t>待确认</t>
        </is>
      </c>
      <c r="R426" s="20" t="inlineStr">
        <is>
          <t>未开始</t>
        </is>
      </c>
      <c r="S426">
        <f>IF(B426="","",IF(E426="已暴露","DEV_REG_ONLY","ANY"))</f>
        <v/>
      </c>
    </row>
    <row r="427">
      <c r="A427" s="20" t="n">
        <v>424</v>
      </c>
      <c r="B427" s="20" t="str"/>
      <c r="C427" s="20" t="str"/>
      <c r="D427" s="20" t="str"/>
      <c r="E427" s="20" t="str"/>
      <c r="F427" s="20" t="inlineStr">
        <is>
          <t>PENDING</t>
        </is>
      </c>
      <c r="G427" s="20" t="inlineStr">
        <is>
          <t>PENDING</t>
        </is>
      </c>
      <c r="H427" s="20" t="inlineStr">
        <is>
          <t>PENDING</t>
        </is>
      </c>
      <c r="I427" s="20" t="inlineStr">
        <is>
          <t>PENDING</t>
        </is>
      </c>
      <c r="J427" s="20" t="inlineStr">
        <is>
          <t>PENDING</t>
        </is>
      </c>
      <c r="K427" s="20" t="inlineStr">
        <is>
          <t>待确认</t>
        </is>
      </c>
      <c r="L427" s="20">
        <f>IF(B427="","",IF(OR(F427="FAIL",K427="泄漏"),"DROP",IF(G427="FAIL","RELABEL",IF(OR(H427="FAIL",I427="FAIL",J427="FAIL"),"REWORK",IF(COUNTIF(F427:J427,"PENDING")&gt;0,"PENDING","REUSE")))))</f>
        <v/>
      </c>
      <c r="M427" s="20" t="inlineStr">
        <is>
          <t>PENDING</t>
        </is>
      </c>
      <c r="N427" s="20" t="str"/>
      <c r="O427" s="20" t="str"/>
      <c r="P427" s="20" t="str"/>
      <c r="Q427" s="20" t="inlineStr">
        <is>
          <t>待确认</t>
        </is>
      </c>
      <c r="R427" s="20" t="inlineStr">
        <is>
          <t>未开始</t>
        </is>
      </c>
      <c r="S427">
        <f>IF(B427="","",IF(E427="已暴露","DEV_REG_ONLY","ANY"))</f>
        <v/>
      </c>
    </row>
    <row r="428">
      <c r="A428" s="20" t="n">
        <v>425</v>
      </c>
      <c r="B428" s="20" t="str"/>
      <c r="C428" s="20" t="str"/>
      <c r="D428" s="20" t="str"/>
      <c r="E428" s="20" t="str"/>
      <c r="F428" s="20" t="inlineStr">
        <is>
          <t>PENDING</t>
        </is>
      </c>
      <c r="G428" s="20" t="inlineStr">
        <is>
          <t>PENDING</t>
        </is>
      </c>
      <c r="H428" s="20" t="inlineStr">
        <is>
          <t>PENDING</t>
        </is>
      </c>
      <c r="I428" s="20" t="inlineStr">
        <is>
          <t>PENDING</t>
        </is>
      </c>
      <c r="J428" s="20" t="inlineStr">
        <is>
          <t>PENDING</t>
        </is>
      </c>
      <c r="K428" s="20" t="inlineStr">
        <is>
          <t>待确认</t>
        </is>
      </c>
      <c r="L428" s="20">
        <f>IF(B428="","",IF(OR(F428="FAIL",K428="泄漏"),"DROP",IF(G428="FAIL","RELABEL",IF(OR(H428="FAIL",I428="FAIL",J428="FAIL"),"REWORK",IF(COUNTIF(F428:J428,"PENDING")&gt;0,"PENDING","REUSE")))))</f>
        <v/>
      </c>
      <c r="M428" s="20" t="inlineStr">
        <is>
          <t>PENDING</t>
        </is>
      </c>
      <c r="N428" s="20" t="str"/>
      <c r="O428" s="20" t="str"/>
      <c r="P428" s="20" t="str"/>
      <c r="Q428" s="20" t="inlineStr">
        <is>
          <t>待确认</t>
        </is>
      </c>
      <c r="R428" s="20" t="inlineStr">
        <is>
          <t>未开始</t>
        </is>
      </c>
      <c r="S428">
        <f>IF(B428="","",IF(E428="已暴露","DEV_REG_ONLY","ANY"))</f>
        <v/>
      </c>
    </row>
    <row r="429">
      <c r="A429" s="20" t="n">
        <v>426</v>
      </c>
      <c r="B429" s="20" t="str"/>
      <c r="C429" s="20" t="str"/>
      <c r="D429" s="20" t="str"/>
      <c r="E429" s="20" t="str"/>
      <c r="F429" s="20" t="inlineStr">
        <is>
          <t>PENDING</t>
        </is>
      </c>
      <c r="G429" s="20" t="inlineStr">
        <is>
          <t>PENDING</t>
        </is>
      </c>
      <c r="H429" s="20" t="inlineStr">
        <is>
          <t>PENDING</t>
        </is>
      </c>
      <c r="I429" s="20" t="inlineStr">
        <is>
          <t>PENDING</t>
        </is>
      </c>
      <c r="J429" s="20" t="inlineStr">
        <is>
          <t>PENDING</t>
        </is>
      </c>
      <c r="K429" s="20" t="inlineStr">
        <is>
          <t>待确认</t>
        </is>
      </c>
      <c r="L429" s="20">
        <f>IF(B429="","",IF(OR(F429="FAIL",K429="泄漏"),"DROP",IF(G429="FAIL","RELABEL",IF(OR(H429="FAIL",I429="FAIL",J429="FAIL"),"REWORK",IF(COUNTIF(F429:J429,"PENDING")&gt;0,"PENDING","REUSE")))))</f>
        <v/>
      </c>
      <c r="M429" s="20" t="inlineStr">
        <is>
          <t>PENDING</t>
        </is>
      </c>
      <c r="N429" s="20" t="str"/>
      <c r="O429" s="20" t="str"/>
      <c r="P429" s="20" t="str"/>
      <c r="Q429" s="20" t="inlineStr">
        <is>
          <t>待确认</t>
        </is>
      </c>
      <c r="R429" s="20" t="inlineStr">
        <is>
          <t>未开始</t>
        </is>
      </c>
      <c r="S429">
        <f>IF(B429="","",IF(E429="已暴露","DEV_REG_ONLY","ANY"))</f>
        <v/>
      </c>
    </row>
    <row r="430">
      <c r="A430" s="20" t="n">
        <v>427</v>
      </c>
      <c r="B430" s="20" t="str"/>
      <c r="C430" s="20" t="str"/>
      <c r="D430" s="20" t="str"/>
      <c r="E430" s="20" t="str"/>
      <c r="F430" s="20" t="inlineStr">
        <is>
          <t>PENDING</t>
        </is>
      </c>
      <c r="G430" s="20" t="inlineStr">
        <is>
          <t>PENDING</t>
        </is>
      </c>
      <c r="H430" s="20" t="inlineStr">
        <is>
          <t>PENDING</t>
        </is>
      </c>
      <c r="I430" s="20" t="inlineStr">
        <is>
          <t>PENDING</t>
        </is>
      </c>
      <c r="J430" s="20" t="inlineStr">
        <is>
          <t>PENDING</t>
        </is>
      </c>
      <c r="K430" s="20" t="inlineStr">
        <is>
          <t>待确认</t>
        </is>
      </c>
      <c r="L430" s="20">
        <f>IF(B430="","",IF(OR(F430="FAIL",K430="泄漏"),"DROP",IF(G430="FAIL","RELABEL",IF(OR(H430="FAIL",I430="FAIL",J430="FAIL"),"REWORK",IF(COUNTIF(F430:J430,"PENDING")&gt;0,"PENDING","REUSE")))))</f>
        <v/>
      </c>
      <c r="M430" s="20" t="inlineStr">
        <is>
          <t>PENDING</t>
        </is>
      </c>
      <c r="N430" s="20" t="str"/>
      <c r="O430" s="20" t="str"/>
      <c r="P430" s="20" t="str"/>
      <c r="Q430" s="20" t="inlineStr">
        <is>
          <t>待确认</t>
        </is>
      </c>
      <c r="R430" s="20" t="inlineStr">
        <is>
          <t>未开始</t>
        </is>
      </c>
      <c r="S430">
        <f>IF(B430="","",IF(E430="已暴露","DEV_REG_ONLY","ANY"))</f>
        <v/>
      </c>
    </row>
    <row r="431">
      <c r="A431" s="20" t="n">
        <v>428</v>
      </c>
      <c r="B431" s="20" t="str"/>
      <c r="C431" s="20" t="str"/>
      <c r="D431" s="20" t="str"/>
      <c r="E431" s="20" t="str"/>
      <c r="F431" s="20" t="inlineStr">
        <is>
          <t>PENDING</t>
        </is>
      </c>
      <c r="G431" s="20" t="inlineStr">
        <is>
          <t>PENDING</t>
        </is>
      </c>
      <c r="H431" s="20" t="inlineStr">
        <is>
          <t>PENDING</t>
        </is>
      </c>
      <c r="I431" s="20" t="inlineStr">
        <is>
          <t>PENDING</t>
        </is>
      </c>
      <c r="J431" s="20" t="inlineStr">
        <is>
          <t>PENDING</t>
        </is>
      </c>
      <c r="K431" s="20" t="inlineStr">
        <is>
          <t>待确认</t>
        </is>
      </c>
      <c r="L431" s="20">
        <f>IF(B431="","",IF(OR(F431="FAIL",K431="泄漏"),"DROP",IF(G431="FAIL","RELABEL",IF(OR(H431="FAIL",I431="FAIL",J431="FAIL"),"REWORK",IF(COUNTIF(F431:J431,"PENDING")&gt;0,"PENDING","REUSE")))))</f>
        <v/>
      </c>
      <c r="M431" s="20" t="inlineStr">
        <is>
          <t>PENDING</t>
        </is>
      </c>
      <c r="N431" s="20" t="str"/>
      <c r="O431" s="20" t="str"/>
      <c r="P431" s="20" t="str"/>
      <c r="Q431" s="20" t="inlineStr">
        <is>
          <t>待确认</t>
        </is>
      </c>
      <c r="R431" s="20" t="inlineStr">
        <is>
          <t>未开始</t>
        </is>
      </c>
      <c r="S431">
        <f>IF(B431="","",IF(E431="已暴露","DEV_REG_ONLY","ANY"))</f>
        <v/>
      </c>
    </row>
    <row r="432">
      <c r="A432" s="20" t="n">
        <v>429</v>
      </c>
      <c r="B432" s="20" t="str"/>
      <c r="C432" s="20" t="str"/>
      <c r="D432" s="20" t="str"/>
      <c r="E432" s="20" t="str"/>
      <c r="F432" s="20" t="inlineStr">
        <is>
          <t>PENDING</t>
        </is>
      </c>
      <c r="G432" s="20" t="inlineStr">
        <is>
          <t>PENDING</t>
        </is>
      </c>
      <c r="H432" s="20" t="inlineStr">
        <is>
          <t>PENDING</t>
        </is>
      </c>
      <c r="I432" s="20" t="inlineStr">
        <is>
          <t>PENDING</t>
        </is>
      </c>
      <c r="J432" s="20" t="inlineStr">
        <is>
          <t>PENDING</t>
        </is>
      </c>
      <c r="K432" s="20" t="inlineStr">
        <is>
          <t>待确认</t>
        </is>
      </c>
      <c r="L432" s="20">
        <f>IF(B432="","",IF(OR(F432="FAIL",K432="泄漏"),"DROP",IF(G432="FAIL","RELABEL",IF(OR(H432="FAIL",I432="FAIL",J432="FAIL"),"REWORK",IF(COUNTIF(F432:J432,"PENDING")&gt;0,"PENDING","REUSE")))))</f>
        <v/>
      </c>
      <c r="M432" s="20" t="inlineStr">
        <is>
          <t>PENDING</t>
        </is>
      </c>
      <c r="N432" s="20" t="str"/>
      <c r="O432" s="20" t="str"/>
      <c r="P432" s="20" t="str"/>
      <c r="Q432" s="20" t="inlineStr">
        <is>
          <t>待确认</t>
        </is>
      </c>
      <c r="R432" s="20" t="inlineStr">
        <is>
          <t>未开始</t>
        </is>
      </c>
      <c r="S432">
        <f>IF(B432="","",IF(E432="已暴露","DEV_REG_ONLY","ANY"))</f>
        <v/>
      </c>
    </row>
    <row r="433">
      <c r="A433" s="20" t="n">
        <v>430</v>
      </c>
      <c r="B433" s="20" t="str"/>
      <c r="C433" s="20" t="str"/>
      <c r="D433" s="20" t="str"/>
      <c r="E433" s="20" t="str"/>
      <c r="F433" s="20" t="inlineStr">
        <is>
          <t>PENDING</t>
        </is>
      </c>
      <c r="G433" s="20" t="inlineStr">
        <is>
          <t>PENDING</t>
        </is>
      </c>
      <c r="H433" s="20" t="inlineStr">
        <is>
          <t>PENDING</t>
        </is>
      </c>
      <c r="I433" s="20" t="inlineStr">
        <is>
          <t>PENDING</t>
        </is>
      </c>
      <c r="J433" s="20" t="inlineStr">
        <is>
          <t>PENDING</t>
        </is>
      </c>
      <c r="K433" s="20" t="inlineStr">
        <is>
          <t>待确认</t>
        </is>
      </c>
      <c r="L433" s="20">
        <f>IF(B433="","",IF(OR(F433="FAIL",K433="泄漏"),"DROP",IF(G433="FAIL","RELABEL",IF(OR(H433="FAIL",I433="FAIL",J433="FAIL"),"REWORK",IF(COUNTIF(F433:J433,"PENDING")&gt;0,"PENDING","REUSE")))))</f>
        <v/>
      </c>
      <c r="M433" s="20" t="inlineStr">
        <is>
          <t>PENDING</t>
        </is>
      </c>
      <c r="N433" s="20" t="str"/>
      <c r="O433" s="20" t="str"/>
      <c r="P433" s="20" t="str"/>
      <c r="Q433" s="20" t="inlineStr">
        <is>
          <t>待确认</t>
        </is>
      </c>
      <c r="R433" s="20" t="inlineStr">
        <is>
          <t>未开始</t>
        </is>
      </c>
      <c r="S433">
        <f>IF(B433="","",IF(E433="已暴露","DEV_REG_ONLY","ANY"))</f>
        <v/>
      </c>
    </row>
    <row r="434">
      <c r="A434" s="20" t="n">
        <v>431</v>
      </c>
      <c r="B434" s="20" t="str"/>
      <c r="C434" s="20" t="str"/>
      <c r="D434" s="20" t="str"/>
      <c r="E434" s="20" t="str"/>
      <c r="F434" s="20" t="inlineStr">
        <is>
          <t>PENDING</t>
        </is>
      </c>
      <c r="G434" s="20" t="inlineStr">
        <is>
          <t>PENDING</t>
        </is>
      </c>
      <c r="H434" s="20" t="inlineStr">
        <is>
          <t>PENDING</t>
        </is>
      </c>
      <c r="I434" s="20" t="inlineStr">
        <is>
          <t>PENDING</t>
        </is>
      </c>
      <c r="J434" s="20" t="inlineStr">
        <is>
          <t>PENDING</t>
        </is>
      </c>
      <c r="K434" s="20" t="inlineStr">
        <is>
          <t>待确认</t>
        </is>
      </c>
      <c r="L434" s="20">
        <f>IF(B434="","",IF(OR(F434="FAIL",K434="泄漏"),"DROP",IF(G434="FAIL","RELABEL",IF(OR(H434="FAIL",I434="FAIL",J434="FAIL"),"REWORK",IF(COUNTIF(F434:J434,"PENDING")&gt;0,"PENDING","REUSE")))))</f>
        <v/>
      </c>
      <c r="M434" s="20" t="inlineStr">
        <is>
          <t>PENDING</t>
        </is>
      </c>
      <c r="N434" s="20" t="str"/>
      <c r="O434" s="20" t="str"/>
      <c r="P434" s="20" t="str"/>
      <c r="Q434" s="20" t="inlineStr">
        <is>
          <t>待确认</t>
        </is>
      </c>
      <c r="R434" s="20" t="inlineStr">
        <is>
          <t>未开始</t>
        </is>
      </c>
      <c r="S434">
        <f>IF(B434="","",IF(E434="已暴露","DEV_REG_ONLY","ANY"))</f>
        <v/>
      </c>
    </row>
    <row r="435">
      <c r="A435" s="20" t="n">
        <v>432</v>
      </c>
      <c r="B435" s="20" t="str"/>
      <c r="C435" s="20" t="str"/>
      <c r="D435" s="20" t="str"/>
      <c r="E435" s="20" t="str"/>
      <c r="F435" s="20" t="inlineStr">
        <is>
          <t>PENDING</t>
        </is>
      </c>
      <c r="G435" s="20" t="inlineStr">
        <is>
          <t>PENDING</t>
        </is>
      </c>
      <c r="H435" s="20" t="inlineStr">
        <is>
          <t>PENDING</t>
        </is>
      </c>
      <c r="I435" s="20" t="inlineStr">
        <is>
          <t>PENDING</t>
        </is>
      </c>
      <c r="J435" s="20" t="inlineStr">
        <is>
          <t>PENDING</t>
        </is>
      </c>
      <c r="K435" s="20" t="inlineStr">
        <is>
          <t>待确认</t>
        </is>
      </c>
      <c r="L435" s="20">
        <f>IF(B435="","",IF(OR(F435="FAIL",K435="泄漏"),"DROP",IF(G435="FAIL","RELABEL",IF(OR(H435="FAIL",I435="FAIL",J435="FAIL"),"REWORK",IF(COUNTIF(F435:J435,"PENDING")&gt;0,"PENDING","REUSE")))))</f>
        <v/>
      </c>
      <c r="M435" s="20" t="inlineStr">
        <is>
          <t>PENDING</t>
        </is>
      </c>
      <c r="N435" s="20" t="str"/>
      <c r="O435" s="20" t="str"/>
      <c r="P435" s="20" t="str"/>
      <c r="Q435" s="20" t="inlineStr">
        <is>
          <t>待确认</t>
        </is>
      </c>
      <c r="R435" s="20" t="inlineStr">
        <is>
          <t>未开始</t>
        </is>
      </c>
      <c r="S435">
        <f>IF(B435="","",IF(E435="已暴露","DEV_REG_ONLY","ANY"))</f>
        <v/>
      </c>
    </row>
    <row r="436">
      <c r="A436" s="20" t="n">
        <v>433</v>
      </c>
      <c r="B436" s="20" t="str"/>
      <c r="C436" s="20" t="str"/>
      <c r="D436" s="20" t="str"/>
      <c r="E436" s="20" t="str"/>
      <c r="F436" s="20" t="inlineStr">
        <is>
          <t>PENDING</t>
        </is>
      </c>
      <c r="G436" s="20" t="inlineStr">
        <is>
          <t>PENDING</t>
        </is>
      </c>
      <c r="H436" s="20" t="inlineStr">
        <is>
          <t>PENDING</t>
        </is>
      </c>
      <c r="I436" s="20" t="inlineStr">
        <is>
          <t>PENDING</t>
        </is>
      </c>
      <c r="J436" s="20" t="inlineStr">
        <is>
          <t>PENDING</t>
        </is>
      </c>
      <c r="K436" s="20" t="inlineStr">
        <is>
          <t>待确认</t>
        </is>
      </c>
      <c r="L436" s="20">
        <f>IF(B436="","",IF(OR(F436="FAIL",K436="泄漏"),"DROP",IF(G436="FAIL","RELABEL",IF(OR(H436="FAIL",I436="FAIL",J436="FAIL"),"REWORK",IF(COUNTIF(F436:J436,"PENDING")&gt;0,"PENDING","REUSE")))))</f>
        <v/>
      </c>
      <c r="M436" s="20" t="inlineStr">
        <is>
          <t>PENDING</t>
        </is>
      </c>
      <c r="N436" s="20" t="str"/>
      <c r="O436" s="20" t="str"/>
      <c r="P436" s="20" t="str"/>
      <c r="Q436" s="20" t="inlineStr">
        <is>
          <t>待确认</t>
        </is>
      </c>
      <c r="R436" s="20" t="inlineStr">
        <is>
          <t>未开始</t>
        </is>
      </c>
      <c r="S436">
        <f>IF(B436="","",IF(E436="已暴露","DEV_REG_ONLY","ANY"))</f>
        <v/>
      </c>
    </row>
    <row r="437">
      <c r="A437" s="20" t="n">
        <v>434</v>
      </c>
      <c r="B437" s="20" t="str"/>
      <c r="C437" s="20" t="str"/>
      <c r="D437" s="20" t="str"/>
      <c r="E437" s="20" t="str"/>
      <c r="F437" s="20" t="inlineStr">
        <is>
          <t>PENDING</t>
        </is>
      </c>
      <c r="G437" s="20" t="inlineStr">
        <is>
          <t>PENDING</t>
        </is>
      </c>
      <c r="H437" s="20" t="inlineStr">
        <is>
          <t>PENDING</t>
        </is>
      </c>
      <c r="I437" s="20" t="inlineStr">
        <is>
          <t>PENDING</t>
        </is>
      </c>
      <c r="J437" s="20" t="inlineStr">
        <is>
          <t>PENDING</t>
        </is>
      </c>
      <c r="K437" s="20" t="inlineStr">
        <is>
          <t>待确认</t>
        </is>
      </c>
      <c r="L437" s="20">
        <f>IF(B437="","",IF(OR(F437="FAIL",K437="泄漏"),"DROP",IF(G437="FAIL","RELABEL",IF(OR(H437="FAIL",I437="FAIL",J437="FAIL"),"REWORK",IF(COUNTIF(F437:J437,"PENDING")&gt;0,"PENDING","REUSE")))))</f>
        <v/>
      </c>
      <c r="M437" s="20" t="inlineStr">
        <is>
          <t>PENDING</t>
        </is>
      </c>
      <c r="N437" s="20" t="str"/>
      <c r="O437" s="20" t="str"/>
      <c r="P437" s="20" t="str"/>
      <c r="Q437" s="20" t="inlineStr">
        <is>
          <t>待确认</t>
        </is>
      </c>
      <c r="R437" s="20" t="inlineStr">
        <is>
          <t>未开始</t>
        </is>
      </c>
      <c r="S437">
        <f>IF(B437="","",IF(E437="已暴露","DEV_REG_ONLY","ANY"))</f>
        <v/>
      </c>
    </row>
    <row r="438">
      <c r="A438" s="20" t="n">
        <v>435</v>
      </c>
      <c r="B438" s="20" t="str"/>
      <c r="C438" s="20" t="str"/>
      <c r="D438" s="20" t="str"/>
      <c r="E438" s="20" t="str"/>
      <c r="F438" s="20" t="inlineStr">
        <is>
          <t>PENDING</t>
        </is>
      </c>
      <c r="G438" s="20" t="inlineStr">
        <is>
          <t>PENDING</t>
        </is>
      </c>
      <c r="H438" s="20" t="inlineStr">
        <is>
          <t>PENDING</t>
        </is>
      </c>
      <c r="I438" s="20" t="inlineStr">
        <is>
          <t>PENDING</t>
        </is>
      </c>
      <c r="J438" s="20" t="inlineStr">
        <is>
          <t>PENDING</t>
        </is>
      </c>
      <c r="K438" s="20" t="inlineStr">
        <is>
          <t>待确认</t>
        </is>
      </c>
      <c r="L438" s="20">
        <f>IF(B438="","",IF(OR(F438="FAIL",K438="泄漏"),"DROP",IF(G438="FAIL","RELABEL",IF(OR(H438="FAIL",I438="FAIL",J438="FAIL"),"REWORK",IF(COUNTIF(F438:J438,"PENDING")&gt;0,"PENDING","REUSE")))))</f>
        <v/>
      </c>
      <c r="M438" s="20" t="inlineStr">
        <is>
          <t>PENDING</t>
        </is>
      </c>
      <c r="N438" s="20" t="str"/>
      <c r="O438" s="20" t="str"/>
      <c r="P438" s="20" t="str"/>
      <c r="Q438" s="20" t="inlineStr">
        <is>
          <t>待确认</t>
        </is>
      </c>
      <c r="R438" s="20" t="inlineStr">
        <is>
          <t>未开始</t>
        </is>
      </c>
      <c r="S438">
        <f>IF(B438="","",IF(E438="已暴露","DEV_REG_ONLY","ANY"))</f>
        <v/>
      </c>
    </row>
    <row r="439">
      <c r="A439" s="20" t="n">
        <v>436</v>
      </c>
      <c r="B439" s="20" t="str"/>
      <c r="C439" s="20" t="str"/>
      <c r="D439" s="20" t="str"/>
      <c r="E439" s="20" t="str"/>
      <c r="F439" s="20" t="inlineStr">
        <is>
          <t>PENDING</t>
        </is>
      </c>
      <c r="G439" s="20" t="inlineStr">
        <is>
          <t>PENDING</t>
        </is>
      </c>
      <c r="H439" s="20" t="inlineStr">
        <is>
          <t>PENDING</t>
        </is>
      </c>
      <c r="I439" s="20" t="inlineStr">
        <is>
          <t>PENDING</t>
        </is>
      </c>
      <c r="J439" s="20" t="inlineStr">
        <is>
          <t>PENDING</t>
        </is>
      </c>
      <c r="K439" s="20" t="inlineStr">
        <is>
          <t>待确认</t>
        </is>
      </c>
      <c r="L439" s="20">
        <f>IF(B439="","",IF(OR(F439="FAIL",K439="泄漏"),"DROP",IF(G439="FAIL","RELABEL",IF(OR(H439="FAIL",I439="FAIL",J439="FAIL"),"REWORK",IF(COUNTIF(F439:J439,"PENDING")&gt;0,"PENDING","REUSE")))))</f>
        <v/>
      </c>
      <c r="M439" s="20" t="inlineStr">
        <is>
          <t>PENDING</t>
        </is>
      </c>
      <c r="N439" s="20" t="str"/>
      <c r="O439" s="20" t="str"/>
      <c r="P439" s="20" t="str"/>
      <c r="Q439" s="20" t="inlineStr">
        <is>
          <t>待确认</t>
        </is>
      </c>
      <c r="R439" s="20" t="inlineStr">
        <is>
          <t>未开始</t>
        </is>
      </c>
      <c r="S439">
        <f>IF(B439="","",IF(E439="已暴露","DEV_REG_ONLY","ANY"))</f>
        <v/>
      </c>
    </row>
    <row r="440">
      <c r="A440" s="20" t="n">
        <v>437</v>
      </c>
      <c r="B440" s="20" t="str"/>
      <c r="C440" s="20" t="str"/>
      <c r="D440" s="20" t="str"/>
      <c r="E440" s="20" t="str"/>
      <c r="F440" s="20" t="inlineStr">
        <is>
          <t>PENDING</t>
        </is>
      </c>
      <c r="G440" s="20" t="inlineStr">
        <is>
          <t>PENDING</t>
        </is>
      </c>
      <c r="H440" s="20" t="inlineStr">
        <is>
          <t>PENDING</t>
        </is>
      </c>
      <c r="I440" s="20" t="inlineStr">
        <is>
          <t>PENDING</t>
        </is>
      </c>
      <c r="J440" s="20" t="inlineStr">
        <is>
          <t>PENDING</t>
        </is>
      </c>
      <c r="K440" s="20" t="inlineStr">
        <is>
          <t>待确认</t>
        </is>
      </c>
      <c r="L440" s="20">
        <f>IF(B440="","",IF(OR(F440="FAIL",K440="泄漏"),"DROP",IF(G440="FAIL","RELABEL",IF(OR(H440="FAIL",I440="FAIL",J440="FAIL"),"REWORK",IF(COUNTIF(F440:J440,"PENDING")&gt;0,"PENDING","REUSE")))))</f>
        <v/>
      </c>
      <c r="M440" s="20" t="inlineStr">
        <is>
          <t>PENDING</t>
        </is>
      </c>
      <c r="N440" s="20" t="str"/>
      <c r="O440" s="20" t="str"/>
      <c r="P440" s="20" t="str"/>
      <c r="Q440" s="20" t="inlineStr">
        <is>
          <t>待确认</t>
        </is>
      </c>
      <c r="R440" s="20" t="inlineStr">
        <is>
          <t>未开始</t>
        </is>
      </c>
      <c r="S440">
        <f>IF(B440="","",IF(E440="已暴露","DEV_REG_ONLY","ANY"))</f>
        <v/>
      </c>
    </row>
    <row r="441">
      <c r="A441" s="20" t="n">
        <v>438</v>
      </c>
      <c r="B441" s="20" t="str"/>
      <c r="C441" s="20" t="str"/>
      <c r="D441" s="20" t="str"/>
      <c r="E441" s="20" t="str"/>
      <c r="F441" s="20" t="inlineStr">
        <is>
          <t>PENDING</t>
        </is>
      </c>
      <c r="G441" s="20" t="inlineStr">
        <is>
          <t>PENDING</t>
        </is>
      </c>
      <c r="H441" s="20" t="inlineStr">
        <is>
          <t>PENDING</t>
        </is>
      </c>
      <c r="I441" s="20" t="inlineStr">
        <is>
          <t>PENDING</t>
        </is>
      </c>
      <c r="J441" s="20" t="inlineStr">
        <is>
          <t>PENDING</t>
        </is>
      </c>
      <c r="K441" s="20" t="inlineStr">
        <is>
          <t>待确认</t>
        </is>
      </c>
      <c r="L441" s="20">
        <f>IF(B441="","",IF(OR(F441="FAIL",K441="泄漏"),"DROP",IF(G441="FAIL","RELABEL",IF(OR(H441="FAIL",I441="FAIL",J441="FAIL"),"REWORK",IF(COUNTIF(F441:J441,"PENDING")&gt;0,"PENDING","REUSE")))))</f>
        <v/>
      </c>
      <c r="M441" s="20" t="inlineStr">
        <is>
          <t>PENDING</t>
        </is>
      </c>
      <c r="N441" s="20" t="str"/>
      <c r="O441" s="20" t="str"/>
      <c r="P441" s="20" t="str"/>
      <c r="Q441" s="20" t="inlineStr">
        <is>
          <t>待确认</t>
        </is>
      </c>
      <c r="R441" s="20" t="inlineStr">
        <is>
          <t>未开始</t>
        </is>
      </c>
      <c r="S441">
        <f>IF(B441="","",IF(E441="已暴露","DEV_REG_ONLY","ANY"))</f>
        <v/>
      </c>
    </row>
    <row r="442">
      <c r="A442" s="20" t="n">
        <v>439</v>
      </c>
      <c r="B442" s="20" t="str"/>
      <c r="C442" s="20" t="str"/>
      <c r="D442" s="20" t="str"/>
      <c r="E442" s="20" t="str"/>
      <c r="F442" s="20" t="inlineStr">
        <is>
          <t>PENDING</t>
        </is>
      </c>
      <c r="G442" s="20" t="inlineStr">
        <is>
          <t>PENDING</t>
        </is>
      </c>
      <c r="H442" s="20" t="inlineStr">
        <is>
          <t>PENDING</t>
        </is>
      </c>
      <c r="I442" s="20" t="inlineStr">
        <is>
          <t>PENDING</t>
        </is>
      </c>
      <c r="J442" s="20" t="inlineStr">
        <is>
          <t>PENDING</t>
        </is>
      </c>
      <c r="K442" s="20" t="inlineStr">
        <is>
          <t>待确认</t>
        </is>
      </c>
      <c r="L442" s="20">
        <f>IF(B442="","",IF(OR(F442="FAIL",K442="泄漏"),"DROP",IF(G442="FAIL","RELABEL",IF(OR(H442="FAIL",I442="FAIL",J442="FAIL"),"REWORK",IF(COUNTIF(F442:J442,"PENDING")&gt;0,"PENDING","REUSE")))))</f>
        <v/>
      </c>
      <c r="M442" s="20" t="inlineStr">
        <is>
          <t>PENDING</t>
        </is>
      </c>
      <c r="N442" s="20" t="str"/>
      <c r="O442" s="20" t="str"/>
      <c r="P442" s="20" t="str"/>
      <c r="Q442" s="20" t="inlineStr">
        <is>
          <t>待确认</t>
        </is>
      </c>
      <c r="R442" s="20" t="inlineStr">
        <is>
          <t>未开始</t>
        </is>
      </c>
      <c r="S442">
        <f>IF(B442="","",IF(E442="已暴露","DEV_REG_ONLY","ANY"))</f>
        <v/>
      </c>
    </row>
    <row r="443">
      <c r="A443" s="20" t="n">
        <v>440</v>
      </c>
      <c r="B443" s="20" t="str"/>
      <c r="C443" s="20" t="str"/>
      <c r="D443" s="20" t="str"/>
      <c r="E443" s="20" t="str"/>
      <c r="F443" s="20" t="inlineStr">
        <is>
          <t>PENDING</t>
        </is>
      </c>
      <c r="G443" s="20" t="inlineStr">
        <is>
          <t>PENDING</t>
        </is>
      </c>
      <c r="H443" s="20" t="inlineStr">
        <is>
          <t>PENDING</t>
        </is>
      </c>
      <c r="I443" s="20" t="inlineStr">
        <is>
          <t>PENDING</t>
        </is>
      </c>
      <c r="J443" s="20" t="inlineStr">
        <is>
          <t>PENDING</t>
        </is>
      </c>
      <c r="K443" s="20" t="inlineStr">
        <is>
          <t>待确认</t>
        </is>
      </c>
      <c r="L443" s="20">
        <f>IF(B443="","",IF(OR(F443="FAIL",K443="泄漏"),"DROP",IF(G443="FAIL","RELABEL",IF(OR(H443="FAIL",I443="FAIL",J443="FAIL"),"REWORK",IF(COUNTIF(F443:J443,"PENDING")&gt;0,"PENDING","REUSE")))))</f>
        <v/>
      </c>
      <c r="M443" s="20" t="inlineStr">
        <is>
          <t>PENDING</t>
        </is>
      </c>
      <c r="N443" s="20" t="str"/>
      <c r="O443" s="20" t="str"/>
      <c r="P443" s="20" t="str"/>
      <c r="Q443" s="20" t="inlineStr">
        <is>
          <t>待确认</t>
        </is>
      </c>
      <c r="R443" s="20" t="inlineStr">
        <is>
          <t>未开始</t>
        </is>
      </c>
      <c r="S443">
        <f>IF(B443="","",IF(E443="已暴露","DEV_REG_ONLY","ANY"))</f>
        <v/>
      </c>
    </row>
    <row r="444">
      <c r="A444" s="20" t="n">
        <v>441</v>
      </c>
      <c r="B444" s="20" t="str"/>
      <c r="C444" s="20" t="str"/>
      <c r="D444" s="20" t="str"/>
      <c r="E444" s="20" t="str"/>
      <c r="F444" s="20" t="inlineStr">
        <is>
          <t>PENDING</t>
        </is>
      </c>
      <c r="G444" s="20" t="inlineStr">
        <is>
          <t>PENDING</t>
        </is>
      </c>
      <c r="H444" s="20" t="inlineStr">
        <is>
          <t>PENDING</t>
        </is>
      </c>
      <c r="I444" s="20" t="inlineStr">
        <is>
          <t>PENDING</t>
        </is>
      </c>
      <c r="J444" s="20" t="inlineStr">
        <is>
          <t>PENDING</t>
        </is>
      </c>
      <c r="K444" s="20" t="inlineStr">
        <is>
          <t>待确认</t>
        </is>
      </c>
      <c r="L444" s="20">
        <f>IF(B444="","",IF(OR(F444="FAIL",K444="泄漏"),"DROP",IF(G444="FAIL","RELABEL",IF(OR(H444="FAIL",I444="FAIL",J444="FAIL"),"REWORK",IF(COUNTIF(F444:J444,"PENDING")&gt;0,"PENDING","REUSE")))))</f>
        <v/>
      </c>
      <c r="M444" s="20" t="inlineStr">
        <is>
          <t>PENDING</t>
        </is>
      </c>
      <c r="N444" s="20" t="str"/>
      <c r="O444" s="20" t="str"/>
      <c r="P444" s="20" t="str"/>
      <c r="Q444" s="20" t="inlineStr">
        <is>
          <t>待确认</t>
        </is>
      </c>
      <c r="R444" s="20" t="inlineStr">
        <is>
          <t>未开始</t>
        </is>
      </c>
      <c r="S444">
        <f>IF(B444="","",IF(E444="已暴露","DEV_REG_ONLY","ANY"))</f>
        <v/>
      </c>
    </row>
    <row r="445">
      <c r="A445" s="20" t="n">
        <v>442</v>
      </c>
      <c r="B445" s="20" t="str"/>
      <c r="C445" s="20" t="str"/>
      <c r="D445" s="20" t="str"/>
      <c r="E445" s="20" t="str"/>
      <c r="F445" s="20" t="inlineStr">
        <is>
          <t>PENDING</t>
        </is>
      </c>
      <c r="G445" s="20" t="inlineStr">
        <is>
          <t>PENDING</t>
        </is>
      </c>
      <c r="H445" s="20" t="inlineStr">
        <is>
          <t>PENDING</t>
        </is>
      </c>
      <c r="I445" s="20" t="inlineStr">
        <is>
          <t>PENDING</t>
        </is>
      </c>
      <c r="J445" s="20" t="inlineStr">
        <is>
          <t>PENDING</t>
        </is>
      </c>
      <c r="K445" s="20" t="inlineStr">
        <is>
          <t>待确认</t>
        </is>
      </c>
      <c r="L445" s="20">
        <f>IF(B445="","",IF(OR(F445="FAIL",K445="泄漏"),"DROP",IF(G445="FAIL","RELABEL",IF(OR(H445="FAIL",I445="FAIL",J445="FAIL"),"REWORK",IF(COUNTIF(F445:J445,"PENDING")&gt;0,"PENDING","REUSE")))))</f>
        <v/>
      </c>
      <c r="M445" s="20" t="inlineStr">
        <is>
          <t>PENDING</t>
        </is>
      </c>
      <c r="N445" s="20" t="str"/>
      <c r="O445" s="20" t="str"/>
      <c r="P445" s="20" t="str"/>
      <c r="Q445" s="20" t="inlineStr">
        <is>
          <t>待确认</t>
        </is>
      </c>
      <c r="R445" s="20" t="inlineStr">
        <is>
          <t>未开始</t>
        </is>
      </c>
      <c r="S445">
        <f>IF(B445="","",IF(E445="已暴露","DEV_REG_ONLY","ANY"))</f>
        <v/>
      </c>
    </row>
    <row r="446">
      <c r="A446" s="20" t="n">
        <v>443</v>
      </c>
      <c r="B446" s="20" t="str"/>
      <c r="C446" s="20" t="str"/>
      <c r="D446" s="20" t="str"/>
      <c r="E446" s="20" t="str"/>
      <c r="F446" s="20" t="inlineStr">
        <is>
          <t>PENDING</t>
        </is>
      </c>
      <c r="G446" s="20" t="inlineStr">
        <is>
          <t>PENDING</t>
        </is>
      </c>
      <c r="H446" s="20" t="inlineStr">
        <is>
          <t>PENDING</t>
        </is>
      </c>
      <c r="I446" s="20" t="inlineStr">
        <is>
          <t>PENDING</t>
        </is>
      </c>
      <c r="J446" s="20" t="inlineStr">
        <is>
          <t>PENDING</t>
        </is>
      </c>
      <c r="K446" s="20" t="inlineStr">
        <is>
          <t>待确认</t>
        </is>
      </c>
      <c r="L446" s="20">
        <f>IF(B446="","",IF(OR(F446="FAIL",K446="泄漏"),"DROP",IF(G446="FAIL","RELABEL",IF(OR(H446="FAIL",I446="FAIL",J446="FAIL"),"REWORK",IF(COUNTIF(F446:J446,"PENDING")&gt;0,"PENDING","REUSE")))))</f>
        <v/>
      </c>
      <c r="M446" s="20" t="inlineStr">
        <is>
          <t>PENDING</t>
        </is>
      </c>
      <c r="N446" s="20" t="str"/>
      <c r="O446" s="20" t="str"/>
      <c r="P446" s="20" t="str"/>
      <c r="Q446" s="20" t="inlineStr">
        <is>
          <t>待确认</t>
        </is>
      </c>
      <c r="R446" s="20" t="inlineStr">
        <is>
          <t>未开始</t>
        </is>
      </c>
      <c r="S446">
        <f>IF(B446="","",IF(E446="已暴露","DEV_REG_ONLY","ANY"))</f>
        <v/>
      </c>
    </row>
    <row r="447">
      <c r="A447" s="20" t="n">
        <v>444</v>
      </c>
      <c r="B447" s="20" t="str"/>
      <c r="C447" s="20" t="str"/>
      <c r="D447" s="20" t="str"/>
      <c r="E447" s="20" t="str"/>
      <c r="F447" s="20" t="inlineStr">
        <is>
          <t>PENDING</t>
        </is>
      </c>
      <c r="G447" s="20" t="inlineStr">
        <is>
          <t>PENDING</t>
        </is>
      </c>
      <c r="H447" s="20" t="inlineStr">
        <is>
          <t>PENDING</t>
        </is>
      </c>
      <c r="I447" s="20" t="inlineStr">
        <is>
          <t>PENDING</t>
        </is>
      </c>
      <c r="J447" s="20" t="inlineStr">
        <is>
          <t>PENDING</t>
        </is>
      </c>
      <c r="K447" s="20" t="inlineStr">
        <is>
          <t>待确认</t>
        </is>
      </c>
      <c r="L447" s="20">
        <f>IF(B447="","",IF(OR(F447="FAIL",K447="泄漏"),"DROP",IF(G447="FAIL","RELABEL",IF(OR(H447="FAIL",I447="FAIL",J447="FAIL"),"REWORK",IF(COUNTIF(F447:J447,"PENDING")&gt;0,"PENDING","REUSE")))))</f>
        <v/>
      </c>
      <c r="M447" s="20" t="inlineStr">
        <is>
          <t>PENDING</t>
        </is>
      </c>
      <c r="N447" s="20" t="str"/>
      <c r="O447" s="20" t="str"/>
      <c r="P447" s="20" t="str"/>
      <c r="Q447" s="20" t="inlineStr">
        <is>
          <t>待确认</t>
        </is>
      </c>
      <c r="R447" s="20" t="inlineStr">
        <is>
          <t>未开始</t>
        </is>
      </c>
      <c r="S447">
        <f>IF(B447="","",IF(E447="已暴露","DEV_REG_ONLY","ANY"))</f>
        <v/>
      </c>
    </row>
    <row r="448">
      <c r="A448" s="20" t="n">
        <v>445</v>
      </c>
      <c r="B448" s="20" t="str"/>
      <c r="C448" s="20" t="str"/>
      <c r="D448" s="20" t="str"/>
      <c r="E448" s="20" t="str"/>
      <c r="F448" s="20" t="inlineStr">
        <is>
          <t>PENDING</t>
        </is>
      </c>
      <c r="G448" s="20" t="inlineStr">
        <is>
          <t>PENDING</t>
        </is>
      </c>
      <c r="H448" s="20" t="inlineStr">
        <is>
          <t>PENDING</t>
        </is>
      </c>
      <c r="I448" s="20" t="inlineStr">
        <is>
          <t>PENDING</t>
        </is>
      </c>
      <c r="J448" s="20" t="inlineStr">
        <is>
          <t>PENDING</t>
        </is>
      </c>
      <c r="K448" s="20" t="inlineStr">
        <is>
          <t>待确认</t>
        </is>
      </c>
      <c r="L448" s="20">
        <f>IF(B448="","",IF(OR(F448="FAIL",K448="泄漏"),"DROP",IF(G448="FAIL","RELABEL",IF(OR(H448="FAIL",I448="FAIL",J448="FAIL"),"REWORK",IF(COUNTIF(F448:J448,"PENDING")&gt;0,"PENDING","REUSE")))))</f>
        <v/>
      </c>
      <c r="M448" s="20" t="inlineStr">
        <is>
          <t>PENDING</t>
        </is>
      </c>
      <c r="N448" s="20" t="str"/>
      <c r="O448" s="20" t="str"/>
      <c r="P448" s="20" t="str"/>
      <c r="Q448" s="20" t="inlineStr">
        <is>
          <t>待确认</t>
        </is>
      </c>
      <c r="R448" s="20" t="inlineStr">
        <is>
          <t>未开始</t>
        </is>
      </c>
      <c r="S448">
        <f>IF(B448="","",IF(E448="已暴露","DEV_REG_ONLY","ANY"))</f>
        <v/>
      </c>
    </row>
    <row r="449">
      <c r="A449" s="20" t="n">
        <v>446</v>
      </c>
      <c r="B449" s="20" t="str"/>
      <c r="C449" s="20" t="str"/>
      <c r="D449" s="20" t="str"/>
      <c r="E449" s="20" t="str"/>
      <c r="F449" s="20" t="inlineStr">
        <is>
          <t>PENDING</t>
        </is>
      </c>
      <c r="G449" s="20" t="inlineStr">
        <is>
          <t>PENDING</t>
        </is>
      </c>
      <c r="H449" s="20" t="inlineStr">
        <is>
          <t>PENDING</t>
        </is>
      </c>
      <c r="I449" s="20" t="inlineStr">
        <is>
          <t>PENDING</t>
        </is>
      </c>
      <c r="J449" s="20" t="inlineStr">
        <is>
          <t>PENDING</t>
        </is>
      </c>
      <c r="K449" s="20" t="inlineStr">
        <is>
          <t>待确认</t>
        </is>
      </c>
      <c r="L449" s="20">
        <f>IF(B449="","",IF(OR(F449="FAIL",K449="泄漏"),"DROP",IF(G449="FAIL","RELABEL",IF(OR(H449="FAIL",I449="FAIL",J449="FAIL"),"REWORK",IF(COUNTIF(F449:J449,"PENDING")&gt;0,"PENDING","REUSE")))))</f>
        <v/>
      </c>
      <c r="M449" s="20" t="inlineStr">
        <is>
          <t>PENDING</t>
        </is>
      </c>
      <c r="N449" s="20" t="str"/>
      <c r="O449" s="20" t="str"/>
      <c r="P449" s="20" t="str"/>
      <c r="Q449" s="20" t="inlineStr">
        <is>
          <t>待确认</t>
        </is>
      </c>
      <c r="R449" s="20" t="inlineStr">
        <is>
          <t>未开始</t>
        </is>
      </c>
      <c r="S449">
        <f>IF(B449="","",IF(E449="已暴露","DEV_REG_ONLY","ANY"))</f>
        <v/>
      </c>
    </row>
    <row r="450">
      <c r="A450" s="20" t="n">
        <v>447</v>
      </c>
      <c r="B450" s="20" t="str"/>
      <c r="C450" s="20" t="str"/>
      <c r="D450" s="20" t="str"/>
      <c r="E450" s="20" t="str"/>
      <c r="F450" s="20" t="inlineStr">
        <is>
          <t>PENDING</t>
        </is>
      </c>
      <c r="G450" s="20" t="inlineStr">
        <is>
          <t>PENDING</t>
        </is>
      </c>
      <c r="H450" s="20" t="inlineStr">
        <is>
          <t>PENDING</t>
        </is>
      </c>
      <c r="I450" s="20" t="inlineStr">
        <is>
          <t>PENDING</t>
        </is>
      </c>
      <c r="J450" s="20" t="inlineStr">
        <is>
          <t>PENDING</t>
        </is>
      </c>
      <c r="K450" s="20" t="inlineStr">
        <is>
          <t>待确认</t>
        </is>
      </c>
      <c r="L450" s="20">
        <f>IF(B450="","",IF(OR(F450="FAIL",K450="泄漏"),"DROP",IF(G450="FAIL","RELABEL",IF(OR(H450="FAIL",I450="FAIL",J450="FAIL"),"REWORK",IF(COUNTIF(F450:J450,"PENDING")&gt;0,"PENDING","REUSE")))))</f>
        <v/>
      </c>
      <c r="M450" s="20" t="inlineStr">
        <is>
          <t>PENDING</t>
        </is>
      </c>
      <c r="N450" s="20" t="str"/>
      <c r="O450" s="20" t="str"/>
      <c r="P450" s="20" t="str"/>
      <c r="Q450" s="20" t="inlineStr">
        <is>
          <t>待确认</t>
        </is>
      </c>
      <c r="R450" s="20" t="inlineStr">
        <is>
          <t>未开始</t>
        </is>
      </c>
      <c r="S450">
        <f>IF(B450="","",IF(E450="已暴露","DEV_REG_ONLY","ANY"))</f>
        <v/>
      </c>
    </row>
    <row r="451">
      <c r="A451" s="20" t="n">
        <v>448</v>
      </c>
      <c r="B451" s="20" t="str"/>
      <c r="C451" s="20" t="str"/>
      <c r="D451" s="20" t="str"/>
      <c r="E451" s="20" t="str"/>
      <c r="F451" s="20" t="inlineStr">
        <is>
          <t>PENDING</t>
        </is>
      </c>
      <c r="G451" s="20" t="inlineStr">
        <is>
          <t>PENDING</t>
        </is>
      </c>
      <c r="H451" s="20" t="inlineStr">
        <is>
          <t>PENDING</t>
        </is>
      </c>
      <c r="I451" s="20" t="inlineStr">
        <is>
          <t>PENDING</t>
        </is>
      </c>
      <c r="J451" s="20" t="inlineStr">
        <is>
          <t>PENDING</t>
        </is>
      </c>
      <c r="K451" s="20" t="inlineStr">
        <is>
          <t>待确认</t>
        </is>
      </c>
      <c r="L451" s="20">
        <f>IF(B451="","",IF(OR(F451="FAIL",K451="泄漏"),"DROP",IF(G451="FAIL","RELABEL",IF(OR(H451="FAIL",I451="FAIL",J451="FAIL"),"REWORK",IF(COUNTIF(F451:J451,"PENDING")&gt;0,"PENDING","REUSE")))))</f>
        <v/>
      </c>
      <c r="M451" s="20" t="inlineStr">
        <is>
          <t>PENDING</t>
        </is>
      </c>
      <c r="N451" s="20" t="str"/>
      <c r="O451" s="20" t="str"/>
      <c r="P451" s="20" t="str"/>
      <c r="Q451" s="20" t="inlineStr">
        <is>
          <t>待确认</t>
        </is>
      </c>
      <c r="R451" s="20" t="inlineStr">
        <is>
          <t>未开始</t>
        </is>
      </c>
      <c r="S451">
        <f>IF(B451="","",IF(E451="已暴露","DEV_REG_ONLY","ANY"))</f>
        <v/>
      </c>
    </row>
    <row r="452">
      <c r="A452" s="20" t="n">
        <v>449</v>
      </c>
      <c r="B452" s="20" t="str"/>
      <c r="C452" s="20" t="str"/>
      <c r="D452" s="20" t="str"/>
      <c r="E452" s="20" t="str"/>
      <c r="F452" s="20" t="inlineStr">
        <is>
          <t>PENDING</t>
        </is>
      </c>
      <c r="G452" s="20" t="inlineStr">
        <is>
          <t>PENDING</t>
        </is>
      </c>
      <c r="H452" s="20" t="inlineStr">
        <is>
          <t>PENDING</t>
        </is>
      </c>
      <c r="I452" s="20" t="inlineStr">
        <is>
          <t>PENDING</t>
        </is>
      </c>
      <c r="J452" s="20" t="inlineStr">
        <is>
          <t>PENDING</t>
        </is>
      </c>
      <c r="K452" s="20" t="inlineStr">
        <is>
          <t>待确认</t>
        </is>
      </c>
      <c r="L452" s="20">
        <f>IF(B452="","",IF(OR(F452="FAIL",K452="泄漏"),"DROP",IF(G452="FAIL","RELABEL",IF(OR(H452="FAIL",I452="FAIL",J452="FAIL"),"REWORK",IF(COUNTIF(F452:J452,"PENDING")&gt;0,"PENDING","REUSE")))))</f>
        <v/>
      </c>
      <c r="M452" s="20" t="inlineStr">
        <is>
          <t>PENDING</t>
        </is>
      </c>
      <c r="N452" s="20" t="str"/>
      <c r="O452" s="20" t="str"/>
      <c r="P452" s="20" t="str"/>
      <c r="Q452" s="20" t="inlineStr">
        <is>
          <t>待确认</t>
        </is>
      </c>
      <c r="R452" s="20" t="inlineStr">
        <is>
          <t>未开始</t>
        </is>
      </c>
      <c r="S452">
        <f>IF(B452="","",IF(E452="已暴露","DEV_REG_ONLY","ANY"))</f>
        <v/>
      </c>
    </row>
    <row r="453">
      <c r="A453" s="20" t="n">
        <v>450</v>
      </c>
      <c r="B453" s="20" t="str"/>
      <c r="C453" s="20" t="str"/>
      <c r="D453" s="20" t="str"/>
      <c r="E453" s="20" t="str"/>
      <c r="F453" s="20" t="inlineStr">
        <is>
          <t>PENDING</t>
        </is>
      </c>
      <c r="G453" s="20" t="inlineStr">
        <is>
          <t>PENDING</t>
        </is>
      </c>
      <c r="H453" s="20" t="inlineStr">
        <is>
          <t>PENDING</t>
        </is>
      </c>
      <c r="I453" s="20" t="inlineStr">
        <is>
          <t>PENDING</t>
        </is>
      </c>
      <c r="J453" s="20" t="inlineStr">
        <is>
          <t>PENDING</t>
        </is>
      </c>
      <c r="K453" s="20" t="inlineStr">
        <is>
          <t>待确认</t>
        </is>
      </c>
      <c r="L453" s="20">
        <f>IF(B453="","",IF(OR(F453="FAIL",K453="泄漏"),"DROP",IF(G453="FAIL","RELABEL",IF(OR(H453="FAIL",I453="FAIL",J453="FAIL"),"REWORK",IF(COUNTIF(F453:J453,"PENDING")&gt;0,"PENDING","REUSE")))))</f>
        <v/>
      </c>
      <c r="M453" s="20" t="inlineStr">
        <is>
          <t>PENDING</t>
        </is>
      </c>
      <c r="N453" s="20" t="str"/>
      <c r="O453" s="20" t="str"/>
      <c r="P453" s="20" t="str"/>
      <c r="Q453" s="20" t="inlineStr">
        <is>
          <t>待确认</t>
        </is>
      </c>
      <c r="R453" s="20" t="inlineStr">
        <is>
          <t>未开始</t>
        </is>
      </c>
      <c r="S453">
        <f>IF(B453="","",IF(E453="已暴露","DEV_REG_ONLY","ANY"))</f>
        <v/>
      </c>
    </row>
    <row r="454">
      <c r="A454" s="20" t="n">
        <v>451</v>
      </c>
      <c r="B454" s="20" t="str"/>
      <c r="C454" s="20" t="str"/>
      <c r="D454" s="20" t="str"/>
      <c r="E454" s="20" t="str"/>
      <c r="F454" s="20" t="inlineStr">
        <is>
          <t>PENDING</t>
        </is>
      </c>
      <c r="G454" s="20" t="inlineStr">
        <is>
          <t>PENDING</t>
        </is>
      </c>
      <c r="H454" s="20" t="inlineStr">
        <is>
          <t>PENDING</t>
        </is>
      </c>
      <c r="I454" s="20" t="inlineStr">
        <is>
          <t>PENDING</t>
        </is>
      </c>
      <c r="J454" s="20" t="inlineStr">
        <is>
          <t>PENDING</t>
        </is>
      </c>
      <c r="K454" s="20" t="inlineStr">
        <is>
          <t>待确认</t>
        </is>
      </c>
      <c r="L454" s="20">
        <f>IF(B454="","",IF(OR(F454="FAIL",K454="泄漏"),"DROP",IF(G454="FAIL","RELABEL",IF(OR(H454="FAIL",I454="FAIL",J454="FAIL"),"REWORK",IF(COUNTIF(F454:J454,"PENDING")&gt;0,"PENDING","REUSE")))))</f>
        <v/>
      </c>
      <c r="M454" s="20" t="inlineStr">
        <is>
          <t>PENDING</t>
        </is>
      </c>
      <c r="N454" s="20" t="str"/>
      <c r="O454" s="20" t="str"/>
      <c r="P454" s="20" t="str"/>
      <c r="Q454" s="20" t="inlineStr">
        <is>
          <t>待确认</t>
        </is>
      </c>
      <c r="R454" s="20" t="inlineStr">
        <is>
          <t>未开始</t>
        </is>
      </c>
      <c r="S454">
        <f>IF(B454="","",IF(E454="已暴露","DEV_REG_ONLY","ANY"))</f>
        <v/>
      </c>
    </row>
    <row r="455">
      <c r="A455" s="20" t="n">
        <v>452</v>
      </c>
      <c r="B455" s="20" t="str"/>
      <c r="C455" s="20" t="str"/>
      <c r="D455" s="20" t="str"/>
      <c r="E455" s="20" t="str"/>
      <c r="F455" s="20" t="inlineStr">
        <is>
          <t>PENDING</t>
        </is>
      </c>
      <c r="G455" s="20" t="inlineStr">
        <is>
          <t>PENDING</t>
        </is>
      </c>
      <c r="H455" s="20" t="inlineStr">
        <is>
          <t>PENDING</t>
        </is>
      </c>
      <c r="I455" s="20" t="inlineStr">
        <is>
          <t>PENDING</t>
        </is>
      </c>
      <c r="J455" s="20" t="inlineStr">
        <is>
          <t>PENDING</t>
        </is>
      </c>
      <c r="K455" s="20" t="inlineStr">
        <is>
          <t>待确认</t>
        </is>
      </c>
      <c r="L455" s="20">
        <f>IF(B455="","",IF(OR(F455="FAIL",K455="泄漏"),"DROP",IF(G455="FAIL","RELABEL",IF(OR(H455="FAIL",I455="FAIL",J455="FAIL"),"REWORK",IF(COUNTIF(F455:J455,"PENDING")&gt;0,"PENDING","REUSE")))))</f>
        <v/>
      </c>
      <c r="M455" s="20" t="inlineStr">
        <is>
          <t>PENDING</t>
        </is>
      </c>
      <c r="N455" s="20" t="str"/>
      <c r="O455" s="20" t="str"/>
      <c r="P455" s="20" t="str"/>
      <c r="Q455" s="20" t="inlineStr">
        <is>
          <t>待确认</t>
        </is>
      </c>
      <c r="R455" s="20" t="inlineStr">
        <is>
          <t>未开始</t>
        </is>
      </c>
      <c r="S455">
        <f>IF(B455="","",IF(E455="已暴露","DEV_REG_ONLY","ANY"))</f>
        <v/>
      </c>
    </row>
    <row r="456">
      <c r="A456" s="20" t="n">
        <v>453</v>
      </c>
      <c r="B456" s="20" t="str"/>
      <c r="C456" s="20" t="str"/>
      <c r="D456" s="20" t="str"/>
      <c r="E456" s="20" t="str"/>
      <c r="F456" s="20" t="inlineStr">
        <is>
          <t>PENDING</t>
        </is>
      </c>
      <c r="G456" s="20" t="inlineStr">
        <is>
          <t>PENDING</t>
        </is>
      </c>
      <c r="H456" s="20" t="inlineStr">
        <is>
          <t>PENDING</t>
        </is>
      </c>
      <c r="I456" s="20" t="inlineStr">
        <is>
          <t>PENDING</t>
        </is>
      </c>
      <c r="J456" s="20" t="inlineStr">
        <is>
          <t>PENDING</t>
        </is>
      </c>
      <c r="K456" s="20" t="inlineStr">
        <is>
          <t>待确认</t>
        </is>
      </c>
      <c r="L456" s="20">
        <f>IF(B456="","",IF(OR(F456="FAIL",K456="泄漏"),"DROP",IF(G456="FAIL","RELABEL",IF(OR(H456="FAIL",I456="FAIL",J456="FAIL"),"REWORK",IF(COUNTIF(F456:J456,"PENDING")&gt;0,"PENDING","REUSE")))))</f>
        <v/>
      </c>
      <c r="M456" s="20" t="inlineStr">
        <is>
          <t>PENDING</t>
        </is>
      </c>
      <c r="N456" s="20" t="str"/>
      <c r="O456" s="20" t="str"/>
      <c r="P456" s="20" t="str"/>
      <c r="Q456" s="20" t="inlineStr">
        <is>
          <t>待确认</t>
        </is>
      </c>
      <c r="R456" s="20" t="inlineStr">
        <is>
          <t>未开始</t>
        </is>
      </c>
      <c r="S456">
        <f>IF(B456="","",IF(E456="已暴露","DEV_REG_ONLY","ANY"))</f>
        <v/>
      </c>
    </row>
    <row r="457">
      <c r="A457" s="20" t="n">
        <v>454</v>
      </c>
      <c r="B457" s="20" t="str"/>
      <c r="C457" s="20" t="str"/>
      <c r="D457" s="20" t="str"/>
      <c r="E457" s="20" t="str"/>
      <c r="F457" s="20" t="inlineStr">
        <is>
          <t>PENDING</t>
        </is>
      </c>
      <c r="G457" s="20" t="inlineStr">
        <is>
          <t>PENDING</t>
        </is>
      </c>
      <c r="H457" s="20" t="inlineStr">
        <is>
          <t>PENDING</t>
        </is>
      </c>
      <c r="I457" s="20" t="inlineStr">
        <is>
          <t>PENDING</t>
        </is>
      </c>
      <c r="J457" s="20" t="inlineStr">
        <is>
          <t>PENDING</t>
        </is>
      </c>
      <c r="K457" s="20" t="inlineStr">
        <is>
          <t>待确认</t>
        </is>
      </c>
      <c r="L457" s="20">
        <f>IF(B457="","",IF(OR(F457="FAIL",K457="泄漏"),"DROP",IF(G457="FAIL","RELABEL",IF(OR(H457="FAIL",I457="FAIL",J457="FAIL"),"REWORK",IF(COUNTIF(F457:J457,"PENDING")&gt;0,"PENDING","REUSE")))))</f>
        <v/>
      </c>
      <c r="M457" s="20" t="inlineStr">
        <is>
          <t>PENDING</t>
        </is>
      </c>
      <c r="N457" s="20" t="str"/>
      <c r="O457" s="20" t="str"/>
      <c r="P457" s="20" t="str"/>
      <c r="Q457" s="20" t="inlineStr">
        <is>
          <t>待确认</t>
        </is>
      </c>
      <c r="R457" s="20" t="inlineStr">
        <is>
          <t>未开始</t>
        </is>
      </c>
      <c r="S457">
        <f>IF(B457="","",IF(E457="已暴露","DEV_REG_ONLY","ANY"))</f>
        <v/>
      </c>
    </row>
    <row r="458">
      <c r="A458" s="20" t="n">
        <v>455</v>
      </c>
      <c r="B458" s="20" t="str"/>
      <c r="C458" s="20" t="str"/>
      <c r="D458" s="20" t="str"/>
      <c r="E458" s="20" t="str"/>
      <c r="F458" s="20" t="inlineStr">
        <is>
          <t>PENDING</t>
        </is>
      </c>
      <c r="G458" s="20" t="inlineStr">
        <is>
          <t>PENDING</t>
        </is>
      </c>
      <c r="H458" s="20" t="inlineStr">
        <is>
          <t>PENDING</t>
        </is>
      </c>
      <c r="I458" s="20" t="inlineStr">
        <is>
          <t>PENDING</t>
        </is>
      </c>
      <c r="J458" s="20" t="inlineStr">
        <is>
          <t>PENDING</t>
        </is>
      </c>
      <c r="K458" s="20" t="inlineStr">
        <is>
          <t>待确认</t>
        </is>
      </c>
      <c r="L458" s="20">
        <f>IF(B458="","",IF(OR(F458="FAIL",K458="泄漏"),"DROP",IF(G458="FAIL","RELABEL",IF(OR(H458="FAIL",I458="FAIL",J458="FAIL"),"REWORK",IF(COUNTIF(F458:J458,"PENDING")&gt;0,"PENDING","REUSE")))))</f>
        <v/>
      </c>
      <c r="M458" s="20" t="inlineStr">
        <is>
          <t>PENDING</t>
        </is>
      </c>
      <c r="N458" s="20" t="str"/>
      <c r="O458" s="20" t="str"/>
      <c r="P458" s="20" t="str"/>
      <c r="Q458" s="20" t="inlineStr">
        <is>
          <t>待确认</t>
        </is>
      </c>
      <c r="R458" s="20" t="inlineStr">
        <is>
          <t>未开始</t>
        </is>
      </c>
      <c r="S458">
        <f>IF(B458="","",IF(E458="已暴露","DEV_REG_ONLY","ANY"))</f>
        <v/>
      </c>
    </row>
    <row r="459">
      <c r="A459" s="20" t="n">
        <v>456</v>
      </c>
      <c r="B459" s="20" t="str"/>
      <c r="C459" s="20" t="str"/>
      <c r="D459" s="20" t="str"/>
      <c r="E459" s="20" t="str"/>
      <c r="F459" s="20" t="inlineStr">
        <is>
          <t>PENDING</t>
        </is>
      </c>
      <c r="G459" s="20" t="inlineStr">
        <is>
          <t>PENDING</t>
        </is>
      </c>
      <c r="H459" s="20" t="inlineStr">
        <is>
          <t>PENDING</t>
        </is>
      </c>
      <c r="I459" s="20" t="inlineStr">
        <is>
          <t>PENDING</t>
        </is>
      </c>
      <c r="J459" s="20" t="inlineStr">
        <is>
          <t>PENDING</t>
        </is>
      </c>
      <c r="K459" s="20" t="inlineStr">
        <is>
          <t>待确认</t>
        </is>
      </c>
      <c r="L459" s="20">
        <f>IF(B459="","",IF(OR(F459="FAIL",K459="泄漏"),"DROP",IF(G459="FAIL","RELABEL",IF(OR(H459="FAIL",I459="FAIL",J459="FAIL"),"REWORK",IF(COUNTIF(F459:J459,"PENDING")&gt;0,"PENDING","REUSE")))))</f>
        <v/>
      </c>
      <c r="M459" s="20" t="inlineStr">
        <is>
          <t>PENDING</t>
        </is>
      </c>
      <c r="N459" s="20" t="str"/>
      <c r="O459" s="20" t="str"/>
      <c r="P459" s="20" t="str"/>
      <c r="Q459" s="20" t="inlineStr">
        <is>
          <t>待确认</t>
        </is>
      </c>
      <c r="R459" s="20" t="inlineStr">
        <is>
          <t>未开始</t>
        </is>
      </c>
      <c r="S459">
        <f>IF(B459="","",IF(E459="已暴露","DEV_REG_ONLY","ANY"))</f>
        <v/>
      </c>
    </row>
    <row r="460">
      <c r="A460" s="20" t="n">
        <v>457</v>
      </c>
      <c r="B460" s="20" t="str"/>
      <c r="C460" s="20" t="str"/>
      <c r="D460" s="20" t="str"/>
      <c r="E460" s="20" t="str"/>
      <c r="F460" s="20" t="inlineStr">
        <is>
          <t>PENDING</t>
        </is>
      </c>
      <c r="G460" s="20" t="inlineStr">
        <is>
          <t>PENDING</t>
        </is>
      </c>
      <c r="H460" s="20" t="inlineStr">
        <is>
          <t>PENDING</t>
        </is>
      </c>
      <c r="I460" s="20" t="inlineStr">
        <is>
          <t>PENDING</t>
        </is>
      </c>
      <c r="J460" s="20" t="inlineStr">
        <is>
          <t>PENDING</t>
        </is>
      </c>
      <c r="K460" s="20" t="inlineStr">
        <is>
          <t>待确认</t>
        </is>
      </c>
      <c r="L460" s="20">
        <f>IF(B460="","",IF(OR(F460="FAIL",K460="泄漏"),"DROP",IF(G460="FAIL","RELABEL",IF(OR(H460="FAIL",I460="FAIL",J460="FAIL"),"REWORK",IF(COUNTIF(F460:J460,"PENDING")&gt;0,"PENDING","REUSE")))))</f>
        <v/>
      </c>
      <c r="M460" s="20" t="inlineStr">
        <is>
          <t>PENDING</t>
        </is>
      </c>
      <c r="N460" s="20" t="str"/>
      <c r="O460" s="20" t="str"/>
      <c r="P460" s="20" t="str"/>
      <c r="Q460" s="20" t="inlineStr">
        <is>
          <t>待确认</t>
        </is>
      </c>
      <c r="R460" s="20" t="inlineStr">
        <is>
          <t>未开始</t>
        </is>
      </c>
      <c r="S460">
        <f>IF(B460="","",IF(E460="已暴露","DEV_REG_ONLY","ANY"))</f>
        <v/>
      </c>
    </row>
    <row r="461">
      <c r="A461" s="20" t="n">
        <v>458</v>
      </c>
      <c r="B461" s="20" t="str"/>
      <c r="C461" s="20" t="str"/>
      <c r="D461" s="20" t="str"/>
      <c r="E461" s="20" t="str"/>
      <c r="F461" s="20" t="inlineStr">
        <is>
          <t>PENDING</t>
        </is>
      </c>
      <c r="G461" s="20" t="inlineStr">
        <is>
          <t>PENDING</t>
        </is>
      </c>
      <c r="H461" s="20" t="inlineStr">
        <is>
          <t>PENDING</t>
        </is>
      </c>
      <c r="I461" s="20" t="inlineStr">
        <is>
          <t>PENDING</t>
        </is>
      </c>
      <c r="J461" s="20" t="inlineStr">
        <is>
          <t>PENDING</t>
        </is>
      </c>
      <c r="K461" s="20" t="inlineStr">
        <is>
          <t>待确认</t>
        </is>
      </c>
      <c r="L461" s="20">
        <f>IF(B461="","",IF(OR(F461="FAIL",K461="泄漏"),"DROP",IF(G461="FAIL","RELABEL",IF(OR(H461="FAIL",I461="FAIL",J461="FAIL"),"REWORK",IF(COUNTIF(F461:J461,"PENDING")&gt;0,"PENDING","REUSE")))))</f>
        <v/>
      </c>
      <c r="M461" s="20" t="inlineStr">
        <is>
          <t>PENDING</t>
        </is>
      </c>
      <c r="N461" s="20" t="str"/>
      <c r="O461" s="20" t="str"/>
      <c r="P461" s="20" t="str"/>
      <c r="Q461" s="20" t="inlineStr">
        <is>
          <t>待确认</t>
        </is>
      </c>
      <c r="R461" s="20" t="inlineStr">
        <is>
          <t>未开始</t>
        </is>
      </c>
      <c r="S461">
        <f>IF(B461="","",IF(E461="已暴露","DEV_REG_ONLY","ANY"))</f>
        <v/>
      </c>
    </row>
    <row r="462">
      <c r="A462" s="20" t="n">
        <v>459</v>
      </c>
      <c r="B462" s="20" t="str"/>
      <c r="C462" s="20" t="str"/>
      <c r="D462" s="20" t="str"/>
      <c r="E462" s="20" t="str"/>
      <c r="F462" s="20" t="inlineStr">
        <is>
          <t>PENDING</t>
        </is>
      </c>
      <c r="G462" s="20" t="inlineStr">
        <is>
          <t>PENDING</t>
        </is>
      </c>
      <c r="H462" s="20" t="inlineStr">
        <is>
          <t>PENDING</t>
        </is>
      </c>
      <c r="I462" s="20" t="inlineStr">
        <is>
          <t>PENDING</t>
        </is>
      </c>
      <c r="J462" s="20" t="inlineStr">
        <is>
          <t>PENDING</t>
        </is>
      </c>
      <c r="K462" s="20" t="inlineStr">
        <is>
          <t>待确认</t>
        </is>
      </c>
      <c r="L462" s="20">
        <f>IF(B462="","",IF(OR(F462="FAIL",K462="泄漏"),"DROP",IF(G462="FAIL","RELABEL",IF(OR(H462="FAIL",I462="FAIL",J462="FAIL"),"REWORK",IF(COUNTIF(F462:J462,"PENDING")&gt;0,"PENDING","REUSE")))))</f>
        <v/>
      </c>
      <c r="M462" s="20" t="inlineStr">
        <is>
          <t>PENDING</t>
        </is>
      </c>
      <c r="N462" s="20" t="str"/>
      <c r="O462" s="20" t="str"/>
      <c r="P462" s="20" t="str"/>
      <c r="Q462" s="20" t="inlineStr">
        <is>
          <t>待确认</t>
        </is>
      </c>
      <c r="R462" s="20" t="inlineStr">
        <is>
          <t>未开始</t>
        </is>
      </c>
      <c r="S462">
        <f>IF(B462="","",IF(E462="已暴露","DEV_REG_ONLY","ANY"))</f>
        <v/>
      </c>
    </row>
    <row r="463">
      <c r="A463" s="20" t="n">
        <v>460</v>
      </c>
      <c r="B463" s="20" t="str"/>
      <c r="C463" s="20" t="str"/>
      <c r="D463" s="20" t="str"/>
      <c r="E463" s="20" t="str"/>
      <c r="F463" s="20" t="inlineStr">
        <is>
          <t>PENDING</t>
        </is>
      </c>
      <c r="G463" s="20" t="inlineStr">
        <is>
          <t>PENDING</t>
        </is>
      </c>
      <c r="H463" s="20" t="inlineStr">
        <is>
          <t>PENDING</t>
        </is>
      </c>
      <c r="I463" s="20" t="inlineStr">
        <is>
          <t>PENDING</t>
        </is>
      </c>
      <c r="J463" s="20" t="inlineStr">
        <is>
          <t>PENDING</t>
        </is>
      </c>
      <c r="K463" s="20" t="inlineStr">
        <is>
          <t>待确认</t>
        </is>
      </c>
      <c r="L463" s="20">
        <f>IF(B463="","",IF(OR(F463="FAIL",K463="泄漏"),"DROP",IF(G463="FAIL","RELABEL",IF(OR(H463="FAIL",I463="FAIL",J463="FAIL"),"REWORK",IF(COUNTIF(F463:J463,"PENDING")&gt;0,"PENDING","REUSE")))))</f>
        <v/>
      </c>
      <c r="M463" s="20" t="inlineStr">
        <is>
          <t>PENDING</t>
        </is>
      </c>
      <c r="N463" s="20" t="str"/>
      <c r="O463" s="20" t="str"/>
      <c r="P463" s="20" t="str"/>
      <c r="Q463" s="20" t="inlineStr">
        <is>
          <t>待确认</t>
        </is>
      </c>
      <c r="R463" s="20" t="inlineStr">
        <is>
          <t>未开始</t>
        </is>
      </c>
      <c r="S463">
        <f>IF(B463="","",IF(E463="已暴露","DEV_REG_ONLY","ANY"))</f>
        <v/>
      </c>
    </row>
    <row r="464">
      <c r="A464" s="20" t="n">
        <v>461</v>
      </c>
      <c r="B464" s="20" t="str"/>
      <c r="C464" s="20" t="str"/>
      <c r="D464" s="20" t="str"/>
      <c r="E464" s="20" t="str"/>
      <c r="F464" s="20" t="inlineStr">
        <is>
          <t>PENDING</t>
        </is>
      </c>
      <c r="G464" s="20" t="inlineStr">
        <is>
          <t>PENDING</t>
        </is>
      </c>
      <c r="H464" s="20" t="inlineStr">
        <is>
          <t>PENDING</t>
        </is>
      </c>
      <c r="I464" s="20" t="inlineStr">
        <is>
          <t>PENDING</t>
        </is>
      </c>
      <c r="J464" s="20" t="inlineStr">
        <is>
          <t>PENDING</t>
        </is>
      </c>
      <c r="K464" s="20" t="inlineStr">
        <is>
          <t>待确认</t>
        </is>
      </c>
      <c r="L464" s="20">
        <f>IF(B464="","",IF(OR(F464="FAIL",K464="泄漏"),"DROP",IF(G464="FAIL","RELABEL",IF(OR(H464="FAIL",I464="FAIL",J464="FAIL"),"REWORK",IF(COUNTIF(F464:J464,"PENDING")&gt;0,"PENDING","REUSE")))))</f>
        <v/>
      </c>
      <c r="M464" s="20" t="inlineStr">
        <is>
          <t>PENDING</t>
        </is>
      </c>
      <c r="N464" s="20" t="str"/>
      <c r="O464" s="20" t="str"/>
      <c r="P464" s="20" t="str"/>
      <c r="Q464" s="20" t="inlineStr">
        <is>
          <t>待确认</t>
        </is>
      </c>
      <c r="R464" s="20" t="inlineStr">
        <is>
          <t>未开始</t>
        </is>
      </c>
      <c r="S464">
        <f>IF(B464="","",IF(E464="已暴露","DEV_REG_ONLY","ANY"))</f>
        <v/>
      </c>
    </row>
    <row r="465">
      <c r="A465" s="20" t="n">
        <v>462</v>
      </c>
      <c r="B465" s="20" t="str"/>
      <c r="C465" s="20" t="str"/>
      <c r="D465" s="20" t="str"/>
      <c r="E465" s="20" t="str"/>
      <c r="F465" s="20" t="inlineStr">
        <is>
          <t>PENDING</t>
        </is>
      </c>
      <c r="G465" s="20" t="inlineStr">
        <is>
          <t>PENDING</t>
        </is>
      </c>
      <c r="H465" s="20" t="inlineStr">
        <is>
          <t>PENDING</t>
        </is>
      </c>
      <c r="I465" s="20" t="inlineStr">
        <is>
          <t>PENDING</t>
        </is>
      </c>
      <c r="J465" s="20" t="inlineStr">
        <is>
          <t>PENDING</t>
        </is>
      </c>
      <c r="K465" s="20" t="inlineStr">
        <is>
          <t>待确认</t>
        </is>
      </c>
      <c r="L465" s="20">
        <f>IF(B465="","",IF(OR(F465="FAIL",K465="泄漏"),"DROP",IF(G465="FAIL","RELABEL",IF(OR(H465="FAIL",I465="FAIL",J465="FAIL"),"REWORK",IF(COUNTIF(F465:J465,"PENDING")&gt;0,"PENDING","REUSE")))))</f>
        <v/>
      </c>
      <c r="M465" s="20" t="inlineStr">
        <is>
          <t>PENDING</t>
        </is>
      </c>
      <c r="N465" s="20" t="str"/>
      <c r="O465" s="20" t="str"/>
      <c r="P465" s="20" t="str"/>
      <c r="Q465" s="20" t="inlineStr">
        <is>
          <t>待确认</t>
        </is>
      </c>
      <c r="R465" s="20" t="inlineStr">
        <is>
          <t>未开始</t>
        </is>
      </c>
      <c r="S465">
        <f>IF(B465="","",IF(E465="已暴露","DEV_REG_ONLY","ANY"))</f>
        <v/>
      </c>
    </row>
    <row r="466">
      <c r="A466" s="20" t="n">
        <v>463</v>
      </c>
      <c r="B466" s="20" t="str"/>
      <c r="C466" s="20" t="str"/>
      <c r="D466" s="20" t="str"/>
      <c r="E466" s="20" t="str"/>
      <c r="F466" s="20" t="inlineStr">
        <is>
          <t>PENDING</t>
        </is>
      </c>
      <c r="G466" s="20" t="inlineStr">
        <is>
          <t>PENDING</t>
        </is>
      </c>
      <c r="H466" s="20" t="inlineStr">
        <is>
          <t>PENDING</t>
        </is>
      </c>
      <c r="I466" s="20" t="inlineStr">
        <is>
          <t>PENDING</t>
        </is>
      </c>
      <c r="J466" s="20" t="inlineStr">
        <is>
          <t>PENDING</t>
        </is>
      </c>
      <c r="K466" s="20" t="inlineStr">
        <is>
          <t>待确认</t>
        </is>
      </c>
      <c r="L466" s="20">
        <f>IF(B466="","",IF(OR(F466="FAIL",K466="泄漏"),"DROP",IF(G466="FAIL","RELABEL",IF(OR(H466="FAIL",I466="FAIL",J466="FAIL"),"REWORK",IF(COUNTIF(F466:J466,"PENDING")&gt;0,"PENDING","REUSE")))))</f>
        <v/>
      </c>
      <c r="M466" s="20" t="inlineStr">
        <is>
          <t>PENDING</t>
        </is>
      </c>
      <c r="N466" s="20" t="str"/>
      <c r="O466" s="20" t="str"/>
      <c r="P466" s="20" t="str"/>
      <c r="Q466" s="20" t="inlineStr">
        <is>
          <t>待确认</t>
        </is>
      </c>
      <c r="R466" s="20" t="inlineStr">
        <is>
          <t>未开始</t>
        </is>
      </c>
      <c r="S466">
        <f>IF(B466="","",IF(E466="已暴露","DEV_REG_ONLY","ANY"))</f>
        <v/>
      </c>
    </row>
    <row r="467">
      <c r="A467" s="20" t="n">
        <v>464</v>
      </c>
      <c r="B467" s="20" t="str"/>
      <c r="C467" s="20" t="str"/>
      <c r="D467" s="20" t="str"/>
      <c r="E467" s="20" t="str"/>
      <c r="F467" s="20" t="inlineStr">
        <is>
          <t>PENDING</t>
        </is>
      </c>
      <c r="G467" s="20" t="inlineStr">
        <is>
          <t>PENDING</t>
        </is>
      </c>
      <c r="H467" s="20" t="inlineStr">
        <is>
          <t>PENDING</t>
        </is>
      </c>
      <c r="I467" s="20" t="inlineStr">
        <is>
          <t>PENDING</t>
        </is>
      </c>
      <c r="J467" s="20" t="inlineStr">
        <is>
          <t>PENDING</t>
        </is>
      </c>
      <c r="K467" s="20" t="inlineStr">
        <is>
          <t>待确认</t>
        </is>
      </c>
      <c r="L467" s="20">
        <f>IF(B467="","",IF(OR(F467="FAIL",K467="泄漏"),"DROP",IF(G467="FAIL","RELABEL",IF(OR(H467="FAIL",I467="FAIL",J467="FAIL"),"REWORK",IF(COUNTIF(F467:J467,"PENDING")&gt;0,"PENDING","REUSE")))))</f>
        <v/>
      </c>
      <c r="M467" s="20" t="inlineStr">
        <is>
          <t>PENDING</t>
        </is>
      </c>
      <c r="N467" s="20" t="str"/>
      <c r="O467" s="20" t="str"/>
      <c r="P467" s="20" t="str"/>
      <c r="Q467" s="20" t="inlineStr">
        <is>
          <t>待确认</t>
        </is>
      </c>
      <c r="R467" s="20" t="inlineStr">
        <is>
          <t>未开始</t>
        </is>
      </c>
      <c r="S467">
        <f>IF(B467="","",IF(E467="已暴露","DEV_REG_ONLY","ANY"))</f>
        <v/>
      </c>
    </row>
    <row r="468">
      <c r="A468" s="20" t="n">
        <v>465</v>
      </c>
      <c r="B468" s="20" t="str"/>
      <c r="C468" s="20" t="str"/>
      <c r="D468" s="20" t="str"/>
      <c r="E468" s="20" t="str"/>
      <c r="F468" s="20" t="inlineStr">
        <is>
          <t>PENDING</t>
        </is>
      </c>
      <c r="G468" s="20" t="inlineStr">
        <is>
          <t>PENDING</t>
        </is>
      </c>
      <c r="H468" s="20" t="inlineStr">
        <is>
          <t>PENDING</t>
        </is>
      </c>
      <c r="I468" s="20" t="inlineStr">
        <is>
          <t>PENDING</t>
        </is>
      </c>
      <c r="J468" s="20" t="inlineStr">
        <is>
          <t>PENDING</t>
        </is>
      </c>
      <c r="K468" s="20" t="inlineStr">
        <is>
          <t>待确认</t>
        </is>
      </c>
      <c r="L468" s="20">
        <f>IF(B468="","",IF(OR(F468="FAIL",K468="泄漏"),"DROP",IF(G468="FAIL","RELABEL",IF(OR(H468="FAIL",I468="FAIL",J468="FAIL"),"REWORK",IF(COUNTIF(F468:J468,"PENDING")&gt;0,"PENDING","REUSE")))))</f>
        <v/>
      </c>
      <c r="M468" s="20" t="inlineStr">
        <is>
          <t>PENDING</t>
        </is>
      </c>
      <c r="N468" s="20" t="str"/>
      <c r="O468" s="20" t="str"/>
      <c r="P468" s="20" t="str"/>
      <c r="Q468" s="20" t="inlineStr">
        <is>
          <t>待确认</t>
        </is>
      </c>
      <c r="R468" s="20" t="inlineStr">
        <is>
          <t>未开始</t>
        </is>
      </c>
      <c r="S468">
        <f>IF(B468="","",IF(E468="已暴露","DEV_REG_ONLY","ANY"))</f>
        <v/>
      </c>
    </row>
    <row r="469">
      <c r="A469" s="20" t="n">
        <v>466</v>
      </c>
      <c r="B469" s="20" t="str"/>
      <c r="C469" s="20" t="str"/>
      <c r="D469" s="20" t="str"/>
      <c r="E469" s="20" t="str"/>
      <c r="F469" s="20" t="inlineStr">
        <is>
          <t>PENDING</t>
        </is>
      </c>
      <c r="G469" s="20" t="inlineStr">
        <is>
          <t>PENDING</t>
        </is>
      </c>
      <c r="H469" s="20" t="inlineStr">
        <is>
          <t>PENDING</t>
        </is>
      </c>
      <c r="I469" s="20" t="inlineStr">
        <is>
          <t>PENDING</t>
        </is>
      </c>
      <c r="J469" s="20" t="inlineStr">
        <is>
          <t>PENDING</t>
        </is>
      </c>
      <c r="K469" s="20" t="inlineStr">
        <is>
          <t>待确认</t>
        </is>
      </c>
      <c r="L469" s="20">
        <f>IF(B469="","",IF(OR(F469="FAIL",K469="泄漏"),"DROP",IF(G469="FAIL","RELABEL",IF(OR(H469="FAIL",I469="FAIL",J469="FAIL"),"REWORK",IF(COUNTIF(F469:J469,"PENDING")&gt;0,"PENDING","REUSE")))))</f>
        <v/>
      </c>
      <c r="M469" s="20" t="inlineStr">
        <is>
          <t>PENDING</t>
        </is>
      </c>
      <c r="N469" s="20" t="str"/>
      <c r="O469" s="20" t="str"/>
      <c r="P469" s="20" t="str"/>
      <c r="Q469" s="20" t="inlineStr">
        <is>
          <t>待确认</t>
        </is>
      </c>
      <c r="R469" s="20" t="inlineStr">
        <is>
          <t>未开始</t>
        </is>
      </c>
      <c r="S469">
        <f>IF(B469="","",IF(E469="已暴露","DEV_REG_ONLY","ANY"))</f>
        <v/>
      </c>
    </row>
    <row r="470">
      <c r="A470" s="20" t="n">
        <v>467</v>
      </c>
      <c r="B470" s="20" t="str"/>
      <c r="C470" s="20" t="str"/>
      <c r="D470" s="20" t="str"/>
      <c r="E470" s="20" t="str"/>
      <c r="F470" s="20" t="inlineStr">
        <is>
          <t>PENDING</t>
        </is>
      </c>
      <c r="G470" s="20" t="inlineStr">
        <is>
          <t>PENDING</t>
        </is>
      </c>
      <c r="H470" s="20" t="inlineStr">
        <is>
          <t>PENDING</t>
        </is>
      </c>
      <c r="I470" s="20" t="inlineStr">
        <is>
          <t>PENDING</t>
        </is>
      </c>
      <c r="J470" s="20" t="inlineStr">
        <is>
          <t>PENDING</t>
        </is>
      </c>
      <c r="K470" s="20" t="inlineStr">
        <is>
          <t>待确认</t>
        </is>
      </c>
      <c r="L470" s="20">
        <f>IF(B470="","",IF(OR(F470="FAIL",K470="泄漏"),"DROP",IF(G470="FAIL","RELABEL",IF(OR(H470="FAIL",I470="FAIL",J470="FAIL"),"REWORK",IF(COUNTIF(F470:J470,"PENDING")&gt;0,"PENDING","REUSE")))))</f>
        <v/>
      </c>
      <c r="M470" s="20" t="inlineStr">
        <is>
          <t>PENDING</t>
        </is>
      </c>
      <c r="N470" s="20" t="str"/>
      <c r="O470" s="20" t="str"/>
      <c r="P470" s="20" t="str"/>
      <c r="Q470" s="20" t="inlineStr">
        <is>
          <t>待确认</t>
        </is>
      </c>
      <c r="R470" s="20" t="inlineStr">
        <is>
          <t>未开始</t>
        </is>
      </c>
      <c r="S470">
        <f>IF(B470="","",IF(E470="已暴露","DEV_REG_ONLY","ANY"))</f>
        <v/>
      </c>
    </row>
    <row r="471">
      <c r="A471" s="20" t="n">
        <v>468</v>
      </c>
      <c r="B471" s="20" t="str"/>
      <c r="C471" s="20" t="str"/>
      <c r="D471" s="20" t="str"/>
      <c r="E471" s="20" t="str"/>
      <c r="F471" s="20" t="inlineStr">
        <is>
          <t>PENDING</t>
        </is>
      </c>
      <c r="G471" s="20" t="inlineStr">
        <is>
          <t>PENDING</t>
        </is>
      </c>
      <c r="H471" s="20" t="inlineStr">
        <is>
          <t>PENDING</t>
        </is>
      </c>
      <c r="I471" s="20" t="inlineStr">
        <is>
          <t>PENDING</t>
        </is>
      </c>
      <c r="J471" s="20" t="inlineStr">
        <is>
          <t>PENDING</t>
        </is>
      </c>
      <c r="K471" s="20" t="inlineStr">
        <is>
          <t>待确认</t>
        </is>
      </c>
      <c r="L471" s="20">
        <f>IF(B471="","",IF(OR(F471="FAIL",K471="泄漏"),"DROP",IF(G471="FAIL","RELABEL",IF(OR(H471="FAIL",I471="FAIL",J471="FAIL"),"REWORK",IF(COUNTIF(F471:J471,"PENDING")&gt;0,"PENDING","REUSE")))))</f>
        <v/>
      </c>
      <c r="M471" s="20" t="inlineStr">
        <is>
          <t>PENDING</t>
        </is>
      </c>
      <c r="N471" s="20" t="str"/>
      <c r="O471" s="20" t="str"/>
      <c r="P471" s="20" t="str"/>
      <c r="Q471" s="20" t="inlineStr">
        <is>
          <t>待确认</t>
        </is>
      </c>
      <c r="R471" s="20" t="inlineStr">
        <is>
          <t>未开始</t>
        </is>
      </c>
      <c r="S471">
        <f>IF(B471="","",IF(E471="已暴露","DEV_REG_ONLY","ANY"))</f>
        <v/>
      </c>
    </row>
    <row r="472">
      <c r="A472" s="20" t="n">
        <v>469</v>
      </c>
      <c r="B472" s="20" t="str"/>
      <c r="C472" s="20" t="str"/>
      <c r="D472" s="20" t="str"/>
      <c r="E472" s="20" t="str"/>
      <c r="F472" s="20" t="inlineStr">
        <is>
          <t>PENDING</t>
        </is>
      </c>
      <c r="G472" s="20" t="inlineStr">
        <is>
          <t>PENDING</t>
        </is>
      </c>
      <c r="H472" s="20" t="inlineStr">
        <is>
          <t>PENDING</t>
        </is>
      </c>
      <c r="I472" s="20" t="inlineStr">
        <is>
          <t>PENDING</t>
        </is>
      </c>
      <c r="J472" s="20" t="inlineStr">
        <is>
          <t>PENDING</t>
        </is>
      </c>
      <c r="K472" s="20" t="inlineStr">
        <is>
          <t>待确认</t>
        </is>
      </c>
      <c r="L472" s="20">
        <f>IF(B472="","",IF(OR(F472="FAIL",K472="泄漏"),"DROP",IF(G472="FAIL","RELABEL",IF(OR(H472="FAIL",I472="FAIL",J472="FAIL"),"REWORK",IF(COUNTIF(F472:J472,"PENDING")&gt;0,"PENDING","REUSE")))))</f>
        <v/>
      </c>
      <c r="M472" s="20" t="inlineStr">
        <is>
          <t>PENDING</t>
        </is>
      </c>
      <c r="N472" s="20" t="str"/>
      <c r="O472" s="20" t="str"/>
      <c r="P472" s="20" t="str"/>
      <c r="Q472" s="20" t="inlineStr">
        <is>
          <t>待确认</t>
        </is>
      </c>
      <c r="R472" s="20" t="inlineStr">
        <is>
          <t>未开始</t>
        </is>
      </c>
      <c r="S472">
        <f>IF(B472="","",IF(E472="已暴露","DEV_REG_ONLY","ANY"))</f>
        <v/>
      </c>
    </row>
    <row r="473">
      <c r="A473" s="20" t="n">
        <v>470</v>
      </c>
      <c r="B473" s="20" t="str"/>
      <c r="C473" s="20" t="str"/>
      <c r="D473" s="20" t="str"/>
      <c r="E473" s="20" t="str"/>
      <c r="F473" s="20" t="inlineStr">
        <is>
          <t>PENDING</t>
        </is>
      </c>
      <c r="G473" s="20" t="inlineStr">
        <is>
          <t>PENDING</t>
        </is>
      </c>
      <c r="H473" s="20" t="inlineStr">
        <is>
          <t>PENDING</t>
        </is>
      </c>
      <c r="I473" s="20" t="inlineStr">
        <is>
          <t>PENDING</t>
        </is>
      </c>
      <c r="J473" s="20" t="inlineStr">
        <is>
          <t>PENDING</t>
        </is>
      </c>
      <c r="K473" s="20" t="inlineStr">
        <is>
          <t>待确认</t>
        </is>
      </c>
      <c r="L473" s="20">
        <f>IF(B473="","",IF(OR(F473="FAIL",K473="泄漏"),"DROP",IF(G473="FAIL","RELABEL",IF(OR(H473="FAIL",I473="FAIL",J473="FAIL"),"REWORK",IF(COUNTIF(F473:J473,"PENDING")&gt;0,"PENDING","REUSE")))))</f>
        <v/>
      </c>
      <c r="M473" s="20" t="inlineStr">
        <is>
          <t>PENDING</t>
        </is>
      </c>
      <c r="N473" s="20" t="str"/>
      <c r="O473" s="20" t="str"/>
      <c r="P473" s="20" t="str"/>
      <c r="Q473" s="20" t="inlineStr">
        <is>
          <t>待确认</t>
        </is>
      </c>
      <c r="R473" s="20" t="inlineStr">
        <is>
          <t>未开始</t>
        </is>
      </c>
      <c r="S473">
        <f>IF(B473="","",IF(E473="已暴露","DEV_REG_ONLY","ANY"))</f>
        <v/>
      </c>
    </row>
    <row r="474">
      <c r="A474" s="20" t="n">
        <v>471</v>
      </c>
      <c r="B474" s="20" t="str"/>
      <c r="C474" s="20" t="str"/>
      <c r="D474" s="20" t="str"/>
      <c r="E474" s="20" t="str"/>
      <c r="F474" s="20" t="inlineStr">
        <is>
          <t>PENDING</t>
        </is>
      </c>
      <c r="G474" s="20" t="inlineStr">
        <is>
          <t>PENDING</t>
        </is>
      </c>
      <c r="H474" s="20" t="inlineStr">
        <is>
          <t>PENDING</t>
        </is>
      </c>
      <c r="I474" s="20" t="inlineStr">
        <is>
          <t>PENDING</t>
        </is>
      </c>
      <c r="J474" s="20" t="inlineStr">
        <is>
          <t>PENDING</t>
        </is>
      </c>
      <c r="K474" s="20" t="inlineStr">
        <is>
          <t>待确认</t>
        </is>
      </c>
      <c r="L474" s="20">
        <f>IF(B474="","",IF(OR(F474="FAIL",K474="泄漏"),"DROP",IF(G474="FAIL","RELABEL",IF(OR(H474="FAIL",I474="FAIL",J474="FAIL"),"REWORK",IF(COUNTIF(F474:J474,"PENDING")&gt;0,"PENDING","REUSE")))))</f>
        <v/>
      </c>
      <c r="M474" s="20" t="inlineStr">
        <is>
          <t>PENDING</t>
        </is>
      </c>
      <c r="N474" s="20" t="str"/>
      <c r="O474" s="20" t="str"/>
      <c r="P474" s="20" t="str"/>
      <c r="Q474" s="20" t="inlineStr">
        <is>
          <t>待确认</t>
        </is>
      </c>
      <c r="R474" s="20" t="inlineStr">
        <is>
          <t>未开始</t>
        </is>
      </c>
      <c r="S474">
        <f>IF(B474="","",IF(E474="已暴露","DEV_REG_ONLY","ANY"))</f>
        <v/>
      </c>
    </row>
    <row r="475">
      <c r="A475" s="20" t="n">
        <v>472</v>
      </c>
      <c r="B475" s="20" t="str"/>
      <c r="C475" s="20" t="str"/>
      <c r="D475" s="20" t="str"/>
      <c r="E475" s="20" t="str"/>
      <c r="F475" s="20" t="inlineStr">
        <is>
          <t>PENDING</t>
        </is>
      </c>
      <c r="G475" s="20" t="inlineStr">
        <is>
          <t>PENDING</t>
        </is>
      </c>
      <c r="H475" s="20" t="inlineStr">
        <is>
          <t>PENDING</t>
        </is>
      </c>
      <c r="I475" s="20" t="inlineStr">
        <is>
          <t>PENDING</t>
        </is>
      </c>
      <c r="J475" s="20" t="inlineStr">
        <is>
          <t>PENDING</t>
        </is>
      </c>
      <c r="K475" s="20" t="inlineStr">
        <is>
          <t>待确认</t>
        </is>
      </c>
      <c r="L475" s="20">
        <f>IF(B475="","",IF(OR(F475="FAIL",K475="泄漏"),"DROP",IF(G475="FAIL","RELABEL",IF(OR(H475="FAIL",I475="FAIL",J475="FAIL"),"REWORK",IF(COUNTIF(F475:J475,"PENDING")&gt;0,"PENDING","REUSE")))))</f>
        <v/>
      </c>
      <c r="M475" s="20" t="inlineStr">
        <is>
          <t>PENDING</t>
        </is>
      </c>
      <c r="N475" s="20" t="str"/>
      <c r="O475" s="20" t="str"/>
      <c r="P475" s="20" t="str"/>
      <c r="Q475" s="20" t="inlineStr">
        <is>
          <t>待确认</t>
        </is>
      </c>
      <c r="R475" s="20" t="inlineStr">
        <is>
          <t>未开始</t>
        </is>
      </c>
      <c r="S475">
        <f>IF(B475="","",IF(E475="已暴露","DEV_REG_ONLY","ANY"))</f>
        <v/>
      </c>
    </row>
    <row r="476">
      <c r="A476" s="20" t="n">
        <v>473</v>
      </c>
      <c r="B476" s="20" t="str"/>
      <c r="C476" s="20" t="str"/>
      <c r="D476" s="20" t="str"/>
      <c r="E476" s="20" t="str"/>
      <c r="F476" s="20" t="inlineStr">
        <is>
          <t>PENDING</t>
        </is>
      </c>
      <c r="G476" s="20" t="inlineStr">
        <is>
          <t>PENDING</t>
        </is>
      </c>
      <c r="H476" s="20" t="inlineStr">
        <is>
          <t>PENDING</t>
        </is>
      </c>
      <c r="I476" s="20" t="inlineStr">
        <is>
          <t>PENDING</t>
        </is>
      </c>
      <c r="J476" s="20" t="inlineStr">
        <is>
          <t>PENDING</t>
        </is>
      </c>
      <c r="K476" s="20" t="inlineStr">
        <is>
          <t>待确认</t>
        </is>
      </c>
      <c r="L476" s="20">
        <f>IF(B476="","",IF(OR(F476="FAIL",K476="泄漏"),"DROP",IF(G476="FAIL","RELABEL",IF(OR(H476="FAIL",I476="FAIL",J476="FAIL"),"REWORK",IF(COUNTIF(F476:J476,"PENDING")&gt;0,"PENDING","REUSE")))))</f>
        <v/>
      </c>
      <c r="M476" s="20" t="inlineStr">
        <is>
          <t>PENDING</t>
        </is>
      </c>
      <c r="N476" s="20" t="str"/>
      <c r="O476" s="20" t="str"/>
      <c r="P476" s="20" t="str"/>
      <c r="Q476" s="20" t="inlineStr">
        <is>
          <t>待确认</t>
        </is>
      </c>
      <c r="R476" s="20" t="inlineStr">
        <is>
          <t>未开始</t>
        </is>
      </c>
      <c r="S476">
        <f>IF(B476="","",IF(E476="已暴露","DEV_REG_ONLY","ANY"))</f>
        <v/>
      </c>
    </row>
    <row r="477">
      <c r="A477" s="20" t="n">
        <v>474</v>
      </c>
      <c r="B477" s="20" t="str"/>
      <c r="C477" s="20" t="str"/>
      <c r="D477" s="20" t="str"/>
      <c r="E477" s="20" t="str"/>
      <c r="F477" s="20" t="inlineStr">
        <is>
          <t>PENDING</t>
        </is>
      </c>
      <c r="G477" s="20" t="inlineStr">
        <is>
          <t>PENDING</t>
        </is>
      </c>
      <c r="H477" s="20" t="inlineStr">
        <is>
          <t>PENDING</t>
        </is>
      </c>
      <c r="I477" s="20" t="inlineStr">
        <is>
          <t>PENDING</t>
        </is>
      </c>
      <c r="J477" s="20" t="inlineStr">
        <is>
          <t>PENDING</t>
        </is>
      </c>
      <c r="K477" s="20" t="inlineStr">
        <is>
          <t>待确认</t>
        </is>
      </c>
      <c r="L477" s="20">
        <f>IF(B477="","",IF(OR(F477="FAIL",K477="泄漏"),"DROP",IF(G477="FAIL","RELABEL",IF(OR(H477="FAIL",I477="FAIL",J477="FAIL"),"REWORK",IF(COUNTIF(F477:J477,"PENDING")&gt;0,"PENDING","REUSE")))))</f>
        <v/>
      </c>
      <c r="M477" s="20" t="inlineStr">
        <is>
          <t>PENDING</t>
        </is>
      </c>
      <c r="N477" s="20" t="str"/>
      <c r="O477" s="20" t="str"/>
      <c r="P477" s="20" t="str"/>
      <c r="Q477" s="20" t="inlineStr">
        <is>
          <t>待确认</t>
        </is>
      </c>
      <c r="R477" s="20" t="inlineStr">
        <is>
          <t>未开始</t>
        </is>
      </c>
      <c r="S477">
        <f>IF(B477="","",IF(E477="已暴露","DEV_REG_ONLY","ANY"))</f>
        <v/>
      </c>
    </row>
    <row r="478">
      <c r="A478" s="20" t="n">
        <v>475</v>
      </c>
      <c r="B478" s="20" t="str"/>
      <c r="C478" s="20" t="str"/>
      <c r="D478" s="20" t="str"/>
      <c r="E478" s="20" t="str"/>
      <c r="F478" s="20" t="inlineStr">
        <is>
          <t>PENDING</t>
        </is>
      </c>
      <c r="G478" s="20" t="inlineStr">
        <is>
          <t>PENDING</t>
        </is>
      </c>
      <c r="H478" s="20" t="inlineStr">
        <is>
          <t>PENDING</t>
        </is>
      </c>
      <c r="I478" s="20" t="inlineStr">
        <is>
          <t>PENDING</t>
        </is>
      </c>
      <c r="J478" s="20" t="inlineStr">
        <is>
          <t>PENDING</t>
        </is>
      </c>
      <c r="K478" s="20" t="inlineStr">
        <is>
          <t>待确认</t>
        </is>
      </c>
      <c r="L478" s="20">
        <f>IF(B478="","",IF(OR(F478="FAIL",K478="泄漏"),"DROP",IF(G478="FAIL","RELABEL",IF(OR(H478="FAIL",I478="FAIL",J478="FAIL"),"REWORK",IF(COUNTIF(F478:J478,"PENDING")&gt;0,"PENDING","REUSE")))))</f>
        <v/>
      </c>
      <c r="M478" s="20" t="inlineStr">
        <is>
          <t>PENDING</t>
        </is>
      </c>
      <c r="N478" s="20" t="str"/>
      <c r="O478" s="20" t="str"/>
      <c r="P478" s="20" t="str"/>
      <c r="Q478" s="20" t="inlineStr">
        <is>
          <t>待确认</t>
        </is>
      </c>
      <c r="R478" s="20" t="inlineStr">
        <is>
          <t>未开始</t>
        </is>
      </c>
      <c r="S478">
        <f>IF(B478="","",IF(E478="已暴露","DEV_REG_ONLY","ANY"))</f>
        <v/>
      </c>
    </row>
    <row r="479">
      <c r="A479" s="20" t="n">
        <v>476</v>
      </c>
      <c r="B479" s="20" t="str"/>
      <c r="C479" s="20" t="str"/>
      <c r="D479" s="20" t="str"/>
      <c r="E479" s="20" t="str"/>
      <c r="F479" s="20" t="inlineStr">
        <is>
          <t>PENDING</t>
        </is>
      </c>
      <c r="G479" s="20" t="inlineStr">
        <is>
          <t>PENDING</t>
        </is>
      </c>
      <c r="H479" s="20" t="inlineStr">
        <is>
          <t>PENDING</t>
        </is>
      </c>
      <c r="I479" s="20" t="inlineStr">
        <is>
          <t>PENDING</t>
        </is>
      </c>
      <c r="J479" s="20" t="inlineStr">
        <is>
          <t>PENDING</t>
        </is>
      </c>
      <c r="K479" s="20" t="inlineStr">
        <is>
          <t>待确认</t>
        </is>
      </c>
      <c r="L479" s="20">
        <f>IF(B479="","",IF(OR(F479="FAIL",K479="泄漏"),"DROP",IF(G479="FAIL","RELABEL",IF(OR(H479="FAIL",I479="FAIL",J479="FAIL"),"REWORK",IF(COUNTIF(F479:J479,"PENDING")&gt;0,"PENDING","REUSE")))))</f>
        <v/>
      </c>
      <c r="M479" s="20" t="inlineStr">
        <is>
          <t>PENDING</t>
        </is>
      </c>
      <c r="N479" s="20" t="str"/>
      <c r="O479" s="20" t="str"/>
      <c r="P479" s="20" t="str"/>
      <c r="Q479" s="20" t="inlineStr">
        <is>
          <t>待确认</t>
        </is>
      </c>
      <c r="R479" s="20" t="inlineStr">
        <is>
          <t>未开始</t>
        </is>
      </c>
      <c r="S479">
        <f>IF(B479="","",IF(E479="已暴露","DEV_REG_ONLY","ANY"))</f>
        <v/>
      </c>
    </row>
    <row r="480">
      <c r="A480" s="20" t="n">
        <v>477</v>
      </c>
      <c r="B480" s="20" t="str"/>
      <c r="C480" s="20" t="str"/>
      <c r="D480" s="20" t="str"/>
      <c r="E480" s="20" t="str"/>
      <c r="F480" s="20" t="inlineStr">
        <is>
          <t>PENDING</t>
        </is>
      </c>
      <c r="G480" s="20" t="inlineStr">
        <is>
          <t>PENDING</t>
        </is>
      </c>
      <c r="H480" s="20" t="inlineStr">
        <is>
          <t>PENDING</t>
        </is>
      </c>
      <c r="I480" s="20" t="inlineStr">
        <is>
          <t>PENDING</t>
        </is>
      </c>
      <c r="J480" s="20" t="inlineStr">
        <is>
          <t>PENDING</t>
        </is>
      </c>
      <c r="K480" s="20" t="inlineStr">
        <is>
          <t>待确认</t>
        </is>
      </c>
      <c r="L480" s="20">
        <f>IF(B480="","",IF(OR(F480="FAIL",K480="泄漏"),"DROP",IF(G480="FAIL","RELABEL",IF(OR(H480="FAIL",I480="FAIL",J480="FAIL"),"REWORK",IF(COUNTIF(F480:J480,"PENDING")&gt;0,"PENDING","REUSE")))))</f>
        <v/>
      </c>
      <c r="M480" s="20" t="inlineStr">
        <is>
          <t>PENDING</t>
        </is>
      </c>
      <c r="N480" s="20" t="str"/>
      <c r="O480" s="20" t="str"/>
      <c r="P480" s="20" t="str"/>
      <c r="Q480" s="20" t="inlineStr">
        <is>
          <t>待确认</t>
        </is>
      </c>
      <c r="R480" s="20" t="inlineStr">
        <is>
          <t>未开始</t>
        </is>
      </c>
      <c r="S480">
        <f>IF(B480="","",IF(E480="已暴露","DEV_REG_ONLY","ANY"))</f>
        <v/>
      </c>
    </row>
    <row r="481">
      <c r="A481" s="20" t="n">
        <v>478</v>
      </c>
      <c r="B481" s="20" t="str"/>
      <c r="C481" s="20" t="str"/>
      <c r="D481" s="20" t="str"/>
      <c r="E481" s="20" t="str"/>
      <c r="F481" s="20" t="inlineStr">
        <is>
          <t>PENDING</t>
        </is>
      </c>
      <c r="G481" s="20" t="inlineStr">
        <is>
          <t>PENDING</t>
        </is>
      </c>
      <c r="H481" s="20" t="inlineStr">
        <is>
          <t>PENDING</t>
        </is>
      </c>
      <c r="I481" s="20" t="inlineStr">
        <is>
          <t>PENDING</t>
        </is>
      </c>
      <c r="J481" s="20" t="inlineStr">
        <is>
          <t>PENDING</t>
        </is>
      </c>
      <c r="K481" s="20" t="inlineStr">
        <is>
          <t>待确认</t>
        </is>
      </c>
      <c r="L481" s="20">
        <f>IF(B481="","",IF(OR(F481="FAIL",K481="泄漏"),"DROP",IF(G481="FAIL","RELABEL",IF(OR(H481="FAIL",I481="FAIL",J481="FAIL"),"REWORK",IF(COUNTIF(F481:J481,"PENDING")&gt;0,"PENDING","REUSE")))))</f>
        <v/>
      </c>
      <c r="M481" s="20" t="inlineStr">
        <is>
          <t>PENDING</t>
        </is>
      </c>
      <c r="N481" s="20" t="str"/>
      <c r="O481" s="20" t="str"/>
      <c r="P481" s="20" t="str"/>
      <c r="Q481" s="20" t="inlineStr">
        <is>
          <t>待确认</t>
        </is>
      </c>
      <c r="R481" s="20" t="inlineStr">
        <is>
          <t>未开始</t>
        </is>
      </c>
      <c r="S481">
        <f>IF(B481="","",IF(E481="已暴露","DEV_REG_ONLY","ANY"))</f>
        <v/>
      </c>
    </row>
    <row r="482">
      <c r="A482" s="20" t="n">
        <v>479</v>
      </c>
      <c r="B482" s="20" t="str"/>
      <c r="C482" s="20" t="str"/>
      <c r="D482" s="20" t="str"/>
      <c r="E482" s="20" t="str"/>
      <c r="F482" s="20" t="inlineStr">
        <is>
          <t>PENDING</t>
        </is>
      </c>
      <c r="G482" s="20" t="inlineStr">
        <is>
          <t>PENDING</t>
        </is>
      </c>
      <c r="H482" s="20" t="inlineStr">
        <is>
          <t>PENDING</t>
        </is>
      </c>
      <c r="I482" s="20" t="inlineStr">
        <is>
          <t>PENDING</t>
        </is>
      </c>
      <c r="J482" s="20" t="inlineStr">
        <is>
          <t>PENDING</t>
        </is>
      </c>
      <c r="K482" s="20" t="inlineStr">
        <is>
          <t>待确认</t>
        </is>
      </c>
      <c r="L482" s="20">
        <f>IF(B482="","",IF(OR(F482="FAIL",K482="泄漏"),"DROP",IF(G482="FAIL","RELABEL",IF(OR(H482="FAIL",I482="FAIL",J482="FAIL"),"REWORK",IF(COUNTIF(F482:J482,"PENDING")&gt;0,"PENDING","REUSE")))))</f>
        <v/>
      </c>
      <c r="M482" s="20" t="inlineStr">
        <is>
          <t>PENDING</t>
        </is>
      </c>
      <c r="N482" s="20" t="str"/>
      <c r="O482" s="20" t="str"/>
      <c r="P482" s="20" t="str"/>
      <c r="Q482" s="20" t="inlineStr">
        <is>
          <t>待确认</t>
        </is>
      </c>
      <c r="R482" s="20" t="inlineStr">
        <is>
          <t>未开始</t>
        </is>
      </c>
      <c r="S482">
        <f>IF(B482="","",IF(E482="已暴露","DEV_REG_ONLY","ANY"))</f>
        <v/>
      </c>
    </row>
    <row r="483">
      <c r="A483" s="20" t="n">
        <v>480</v>
      </c>
      <c r="B483" s="20" t="str"/>
      <c r="C483" s="20" t="str"/>
      <c r="D483" s="20" t="str"/>
      <c r="E483" s="20" t="str"/>
      <c r="F483" s="20" t="inlineStr">
        <is>
          <t>PENDING</t>
        </is>
      </c>
      <c r="G483" s="20" t="inlineStr">
        <is>
          <t>PENDING</t>
        </is>
      </c>
      <c r="H483" s="20" t="inlineStr">
        <is>
          <t>PENDING</t>
        </is>
      </c>
      <c r="I483" s="20" t="inlineStr">
        <is>
          <t>PENDING</t>
        </is>
      </c>
      <c r="J483" s="20" t="inlineStr">
        <is>
          <t>PENDING</t>
        </is>
      </c>
      <c r="K483" s="20" t="inlineStr">
        <is>
          <t>待确认</t>
        </is>
      </c>
      <c r="L483" s="20">
        <f>IF(B483="","",IF(OR(F483="FAIL",K483="泄漏"),"DROP",IF(G483="FAIL","RELABEL",IF(OR(H483="FAIL",I483="FAIL",J483="FAIL"),"REWORK",IF(COUNTIF(F483:J483,"PENDING")&gt;0,"PENDING","REUSE")))))</f>
        <v/>
      </c>
      <c r="M483" s="20" t="inlineStr">
        <is>
          <t>PENDING</t>
        </is>
      </c>
      <c r="N483" s="20" t="str"/>
      <c r="O483" s="20" t="str"/>
      <c r="P483" s="20" t="str"/>
      <c r="Q483" s="20" t="inlineStr">
        <is>
          <t>待确认</t>
        </is>
      </c>
      <c r="R483" s="20" t="inlineStr">
        <is>
          <t>未开始</t>
        </is>
      </c>
      <c r="S483">
        <f>IF(B483="","",IF(E483="已暴露","DEV_REG_ONLY","ANY"))</f>
        <v/>
      </c>
    </row>
    <row r="484">
      <c r="A484" s="20" t="n">
        <v>481</v>
      </c>
      <c r="B484" s="20" t="str"/>
      <c r="C484" s="20" t="str"/>
      <c r="D484" s="20" t="str"/>
      <c r="E484" s="20" t="str"/>
      <c r="F484" s="20" t="inlineStr">
        <is>
          <t>PENDING</t>
        </is>
      </c>
      <c r="G484" s="20" t="inlineStr">
        <is>
          <t>PENDING</t>
        </is>
      </c>
      <c r="H484" s="20" t="inlineStr">
        <is>
          <t>PENDING</t>
        </is>
      </c>
      <c r="I484" s="20" t="inlineStr">
        <is>
          <t>PENDING</t>
        </is>
      </c>
      <c r="J484" s="20" t="inlineStr">
        <is>
          <t>PENDING</t>
        </is>
      </c>
      <c r="K484" s="20" t="inlineStr">
        <is>
          <t>待确认</t>
        </is>
      </c>
      <c r="L484" s="20">
        <f>IF(B484="","",IF(OR(F484="FAIL",K484="泄漏"),"DROP",IF(G484="FAIL","RELABEL",IF(OR(H484="FAIL",I484="FAIL",J484="FAIL"),"REWORK",IF(COUNTIF(F484:J484,"PENDING")&gt;0,"PENDING","REUSE")))))</f>
        <v/>
      </c>
      <c r="M484" s="20" t="inlineStr">
        <is>
          <t>PENDING</t>
        </is>
      </c>
      <c r="N484" s="20" t="str"/>
      <c r="O484" s="20" t="str"/>
      <c r="P484" s="20" t="str"/>
      <c r="Q484" s="20" t="inlineStr">
        <is>
          <t>待确认</t>
        </is>
      </c>
      <c r="R484" s="20" t="inlineStr">
        <is>
          <t>未开始</t>
        </is>
      </c>
      <c r="S484">
        <f>IF(B484="","",IF(E484="已暴露","DEV_REG_ONLY","ANY"))</f>
        <v/>
      </c>
    </row>
    <row r="485">
      <c r="A485" s="20" t="n">
        <v>482</v>
      </c>
      <c r="B485" s="20" t="str"/>
      <c r="C485" s="20" t="str"/>
      <c r="D485" s="20" t="str"/>
      <c r="E485" s="20" t="str"/>
      <c r="F485" s="20" t="inlineStr">
        <is>
          <t>PENDING</t>
        </is>
      </c>
      <c r="G485" s="20" t="inlineStr">
        <is>
          <t>PENDING</t>
        </is>
      </c>
      <c r="H485" s="20" t="inlineStr">
        <is>
          <t>PENDING</t>
        </is>
      </c>
      <c r="I485" s="20" t="inlineStr">
        <is>
          <t>PENDING</t>
        </is>
      </c>
      <c r="J485" s="20" t="inlineStr">
        <is>
          <t>PENDING</t>
        </is>
      </c>
      <c r="K485" s="20" t="inlineStr">
        <is>
          <t>待确认</t>
        </is>
      </c>
      <c r="L485" s="20">
        <f>IF(B485="","",IF(OR(F485="FAIL",K485="泄漏"),"DROP",IF(G485="FAIL","RELABEL",IF(OR(H485="FAIL",I485="FAIL",J485="FAIL"),"REWORK",IF(COUNTIF(F485:J485,"PENDING")&gt;0,"PENDING","REUSE")))))</f>
        <v/>
      </c>
      <c r="M485" s="20" t="inlineStr">
        <is>
          <t>PENDING</t>
        </is>
      </c>
      <c r="N485" s="20" t="str"/>
      <c r="O485" s="20" t="str"/>
      <c r="P485" s="20" t="str"/>
      <c r="Q485" s="20" t="inlineStr">
        <is>
          <t>待确认</t>
        </is>
      </c>
      <c r="R485" s="20" t="inlineStr">
        <is>
          <t>未开始</t>
        </is>
      </c>
      <c r="S485">
        <f>IF(B485="","",IF(E485="已暴露","DEV_REG_ONLY","ANY"))</f>
        <v/>
      </c>
    </row>
    <row r="486">
      <c r="A486" s="20" t="n">
        <v>483</v>
      </c>
      <c r="B486" s="20" t="str"/>
      <c r="C486" s="20" t="str"/>
      <c r="D486" s="20" t="str"/>
      <c r="E486" s="20" t="str"/>
      <c r="F486" s="20" t="inlineStr">
        <is>
          <t>PENDING</t>
        </is>
      </c>
      <c r="G486" s="20" t="inlineStr">
        <is>
          <t>PENDING</t>
        </is>
      </c>
      <c r="H486" s="20" t="inlineStr">
        <is>
          <t>PENDING</t>
        </is>
      </c>
      <c r="I486" s="20" t="inlineStr">
        <is>
          <t>PENDING</t>
        </is>
      </c>
      <c r="J486" s="20" t="inlineStr">
        <is>
          <t>PENDING</t>
        </is>
      </c>
      <c r="K486" s="20" t="inlineStr">
        <is>
          <t>待确认</t>
        </is>
      </c>
      <c r="L486" s="20">
        <f>IF(B486="","",IF(OR(F486="FAIL",K486="泄漏"),"DROP",IF(G486="FAIL","RELABEL",IF(OR(H486="FAIL",I486="FAIL",J486="FAIL"),"REWORK",IF(COUNTIF(F486:J486,"PENDING")&gt;0,"PENDING","REUSE")))))</f>
        <v/>
      </c>
      <c r="M486" s="20" t="inlineStr">
        <is>
          <t>PENDING</t>
        </is>
      </c>
      <c r="N486" s="20" t="str"/>
      <c r="O486" s="20" t="str"/>
      <c r="P486" s="20" t="str"/>
      <c r="Q486" s="20" t="inlineStr">
        <is>
          <t>待确认</t>
        </is>
      </c>
      <c r="R486" s="20" t="inlineStr">
        <is>
          <t>未开始</t>
        </is>
      </c>
      <c r="S486">
        <f>IF(B486="","",IF(E486="已暴露","DEV_REG_ONLY","ANY"))</f>
        <v/>
      </c>
    </row>
    <row r="487">
      <c r="A487" s="20" t="n">
        <v>484</v>
      </c>
      <c r="B487" s="20" t="str"/>
      <c r="C487" s="20" t="str"/>
      <c r="D487" s="20" t="str"/>
      <c r="E487" s="20" t="str"/>
      <c r="F487" s="20" t="inlineStr">
        <is>
          <t>PENDING</t>
        </is>
      </c>
      <c r="G487" s="20" t="inlineStr">
        <is>
          <t>PENDING</t>
        </is>
      </c>
      <c r="H487" s="20" t="inlineStr">
        <is>
          <t>PENDING</t>
        </is>
      </c>
      <c r="I487" s="20" t="inlineStr">
        <is>
          <t>PENDING</t>
        </is>
      </c>
      <c r="J487" s="20" t="inlineStr">
        <is>
          <t>PENDING</t>
        </is>
      </c>
      <c r="K487" s="20" t="inlineStr">
        <is>
          <t>待确认</t>
        </is>
      </c>
      <c r="L487" s="20">
        <f>IF(B487="","",IF(OR(F487="FAIL",K487="泄漏"),"DROP",IF(G487="FAIL","RELABEL",IF(OR(H487="FAIL",I487="FAIL",J487="FAIL"),"REWORK",IF(COUNTIF(F487:J487,"PENDING")&gt;0,"PENDING","REUSE")))))</f>
        <v/>
      </c>
      <c r="M487" s="20" t="inlineStr">
        <is>
          <t>PENDING</t>
        </is>
      </c>
      <c r="N487" s="20" t="str"/>
      <c r="O487" s="20" t="str"/>
      <c r="P487" s="20" t="str"/>
      <c r="Q487" s="20" t="inlineStr">
        <is>
          <t>待确认</t>
        </is>
      </c>
      <c r="R487" s="20" t="inlineStr">
        <is>
          <t>未开始</t>
        </is>
      </c>
      <c r="S487">
        <f>IF(B487="","",IF(E487="已暴露","DEV_REG_ONLY","ANY"))</f>
        <v/>
      </c>
    </row>
    <row r="488">
      <c r="A488" s="20" t="n">
        <v>485</v>
      </c>
      <c r="B488" s="20" t="str"/>
      <c r="C488" s="20" t="str"/>
      <c r="D488" s="20" t="str"/>
      <c r="E488" s="20" t="str"/>
      <c r="F488" s="20" t="inlineStr">
        <is>
          <t>PENDING</t>
        </is>
      </c>
      <c r="G488" s="20" t="inlineStr">
        <is>
          <t>PENDING</t>
        </is>
      </c>
      <c r="H488" s="20" t="inlineStr">
        <is>
          <t>PENDING</t>
        </is>
      </c>
      <c r="I488" s="20" t="inlineStr">
        <is>
          <t>PENDING</t>
        </is>
      </c>
      <c r="J488" s="20" t="inlineStr">
        <is>
          <t>PENDING</t>
        </is>
      </c>
      <c r="K488" s="20" t="inlineStr">
        <is>
          <t>待确认</t>
        </is>
      </c>
      <c r="L488" s="20">
        <f>IF(B488="","",IF(OR(F488="FAIL",K488="泄漏"),"DROP",IF(G488="FAIL","RELABEL",IF(OR(H488="FAIL",I488="FAIL",J488="FAIL"),"REWORK",IF(COUNTIF(F488:J488,"PENDING")&gt;0,"PENDING","REUSE")))))</f>
        <v/>
      </c>
      <c r="M488" s="20" t="inlineStr">
        <is>
          <t>PENDING</t>
        </is>
      </c>
      <c r="N488" s="20" t="str"/>
      <c r="O488" s="20" t="str"/>
      <c r="P488" s="20" t="str"/>
      <c r="Q488" s="20" t="inlineStr">
        <is>
          <t>待确认</t>
        </is>
      </c>
      <c r="R488" s="20" t="inlineStr">
        <is>
          <t>未开始</t>
        </is>
      </c>
      <c r="S488">
        <f>IF(B488="","",IF(E488="已暴露","DEV_REG_ONLY","ANY"))</f>
        <v/>
      </c>
    </row>
    <row r="489">
      <c r="A489" s="20" t="n">
        <v>486</v>
      </c>
      <c r="B489" s="20" t="str"/>
      <c r="C489" s="20" t="str"/>
      <c r="D489" s="20" t="str"/>
      <c r="E489" s="20" t="str"/>
      <c r="F489" s="20" t="inlineStr">
        <is>
          <t>PENDING</t>
        </is>
      </c>
      <c r="G489" s="20" t="inlineStr">
        <is>
          <t>PENDING</t>
        </is>
      </c>
      <c r="H489" s="20" t="inlineStr">
        <is>
          <t>PENDING</t>
        </is>
      </c>
      <c r="I489" s="20" t="inlineStr">
        <is>
          <t>PENDING</t>
        </is>
      </c>
      <c r="J489" s="20" t="inlineStr">
        <is>
          <t>PENDING</t>
        </is>
      </c>
      <c r="K489" s="20" t="inlineStr">
        <is>
          <t>待确认</t>
        </is>
      </c>
      <c r="L489" s="20">
        <f>IF(B489="","",IF(OR(F489="FAIL",K489="泄漏"),"DROP",IF(G489="FAIL","RELABEL",IF(OR(H489="FAIL",I489="FAIL",J489="FAIL"),"REWORK",IF(COUNTIF(F489:J489,"PENDING")&gt;0,"PENDING","REUSE")))))</f>
        <v/>
      </c>
      <c r="M489" s="20" t="inlineStr">
        <is>
          <t>PENDING</t>
        </is>
      </c>
      <c r="N489" s="20" t="str"/>
      <c r="O489" s="20" t="str"/>
      <c r="P489" s="20" t="str"/>
      <c r="Q489" s="20" t="inlineStr">
        <is>
          <t>待确认</t>
        </is>
      </c>
      <c r="R489" s="20" t="inlineStr">
        <is>
          <t>未开始</t>
        </is>
      </c>
      <c r="S489">
        <f>IF(B489="","",IF(E489="已暴露","DEV_REG_ONLY","ANY"))</f>
        <v/>
      </c>
    </row>
    <row r="490">
      <c r="A490" s="20" t="n">
        <v>487</v>
      </c>
      <c r="B490" s="20" t="str"/>
      <c r="C490" s="20" t="str"/>
      <c r="D490" s="20" t="str"/>
      <c r="E490" s="20" t="str"/>
      <c r="F490" s="20" t="inlineStr">
        <is>
          <t>PENDING</t>
        </is>
      </c>
      <c r="G490" s="20" t="inlineStr">
        <is>
          <t>PENDING</t>
        </is>
      </c>
      <c r="H490" s="20" t="inlineStr">
        <is>
          <t>PENDING</t>
        </is>
      </c>
      <c r="I490" s="20" t="inlineStr">
        <is>
          <t>PENDING</t>
        </is>
      </c>
      <c r="J490" s="20" t="inlineStr">
        <is>
          <t>PENDING</t>
        </is>
      </c>
      <c r="K490" s="20" t="inlineStr">
        <is>
          <t>待确认</t>
        </is>
      </c>
      <c r="L490" s="20">
        <f>IF(B490="","",IF(OR(F490="FAIL",K490="泄漏"),"DROP",IF(G490="FAIL","RELABEL",IF(OR(H490="FAIL",I490="FAIL",J490="FAIL"),"REWORK",IF(COUNTIF(F490:J490,"PENDING")&gt;0,"PENDING","REUSE")))))</f>
        <v/>
      </c>
      <c r="M490" s="20" t="inlineStr">
        <is>
          <t>PENDING</t>
        </is>
      </c>
      <c r="N490" s="20" t="str"/>
      <c r="O490" s="20" t="str"/>
      <c r="P490" s="20" t="str"/>
      <c r="Q490" s="20" t="inlineStr">
        <is>
          <t>待确认</t>
        </is>
      </c>
      <c r="R490" s="20" t="inlineStr">
        <is>
          <t>未开始</t>
        </is>
      </c>
      <c r="S490">
        <f>IF(B490="","",IF(E490="已暴露","DEV_REG_ONLY","ANY"))</f>
        <v/>
      </c>
    </row>
    <row r="491">
      <c r="A491" s="20" t="n">
        <v>488</v>
      </c>
      <c r="B491" s="20" t="str"/>
      <c r="C491" s="20" t="str"/>
      <c r="D491" s="20" t="str"/>
      <c r="E491" s="20" t="str"/>
      <c r="F491" s="20" t="inlineStr">
        <is>
          <t>PENDING</t>
        </is>
      </c>
      <c r="G491" s="20" t="inlineStr">
        <is>
          <t>PENDING</t>
        </is>
      </c>
      <c r="H491" s="20" t="inlineStr">
        <is>
          <t>PENDING</t>
        </is>
      </c>
      <c r="I491" s="20" t="inlineStr">
        <is>
          <t>PENDING</t>
        </is>
      </c>
      <c r="J491" s="20" t="inlineStr">
        <is>
          <t>PENDING</t>
        </is>
      </c>
      <c r="K491" s="20" t="inlineStr">
        <is>
          <t>待确认</t>
        </is>
      </c>
      <c r="L491" s="20">
        <f>IF(B491="","",IF(OR(F491="FAIL",K491="泄漏"),"DROP",IF(G491="FAIL","RELABEL",IF(OR(H491="FAIL",I491="FAIL",J491="FAIL"),"REWORK",IF(COUNTIF(F491:J491,"PENDING")&gt;0,"PENDING","REUSE")))))</f>
        <v/>
      </c>
      <c r="M491" s="20" t="inlineStr">
        <is>
          <t>PENDING</t>
        </is>
      </c>
      <c r="N491" s="20" t="str"/>
      <c r="O491" s="20" t="str"/>
      <c r="P491" s="20" t="str"/>
      <c r="Q491" s="20" t="inlineStr">
        <is>
          <t>待确认</t>
        </is>
      </c>
      <c r="R491" s="20" t="inlineStr">
        <is>
          <t>未开始</t>
        </is>
      </c>
      <c r="S491">
        <f>IF(B491="","",IF(E491="已暴露","DEV_REG_ONLY","ANY"))</f>
        <v/>
      </c>
    </row>
    <row r="492">
      <c r="A492" s="20" t="n">
        <v>489</v>
      </c>
      <c r="B492" s="20" t="str"/>
      <c r="C492" s="20" t="str"/>
      <c r="D492" s="20" t="str"/>
      <c r="E492" s="20" t="str"/>
      <c r="F492" s="20" t="inlineStr">
        <is>
          <t>PENDING</t>
        </is>
      </c>
      <c r="G492" s="20" t="inlineStr">
        <is>
          <t>PENDING</t>
        </is>
      </c>
      <c r="H492" s="20" t="inlineStr">
        <is>
          <t>PENDING</t>
        </is>
      </c>
      <c r="I492" s="20" t="inlineStr">
        <is>
          <t>PENDING</t>
        </is>
      </c>
      <c r="J492" s="20" t="inlineStr">
        <is>
          <t>PENDING</t>
        </is>
      </c>
      <c r="K492" s="20" t="inlineStr">
        <is>
          <t>待确认</t>
        </is>
      </c>
      <c r="L492" s="20">
        <f>IF(B492="","",IF(OR(F492="FAIL",K492="泄漏"),"DROP",IF(G492="FAIL","RELABEL",IF(OR(H492="FAIL",I492="FAIL",J492="FAIL"),"REWORK",IF(COUNTIF(F492:J492,"PENDING")&gt;0,"PENDING","REUSE")))))</f>
        <v/>
      </c>
      <c r="M492" s="20" t="inlineStr">
        <is>
          <t>PENDING</t>
        </is>
      </c>
      <c r="N492" s="20" t="str"/>
      <c r="O492" s="20" t="str"/>
      <c r="P492" s="20" t="str"/>
      <c r="Q492" s="20" t="inlineStr">
        <is>
          <t>待确认</t>
        </is>
      </c>
      <c r="R492" s="20" t="inlineStr">
        <is>
          <t>未开始</t>
        </is>
      </c>
      <c r="S492">
        <f>IF(B492="","",IF(E492="已暴露","DEV_REG_ONLY","ANY"))</f>
        <v/>
      </c>
    </row>
    <row r="493">
      <c r="A493" s="20" t="n">
        <v>490</v>
      </c>
      <c r="B493" s="20" t="str"/>
      <c r="C493" s="20" t="str"/>
      <c r="D493" s="20" t="str"/>
      <c r="E493" s="20" t="str"/>
      <c r="F493" s="20" t="inlineStr">
        <is>
          <t>PENDING</t>
        </is>
      </c>
      <c r="G493" s="20" t="inlineStr">
        <is>
          <t>PENDING</t>
        </is>
      </c>
      <c r="H493" s="20" t="inlineStr">
        <is>
          <t>PENDING</t>
        </is>
      </c>
      <c r="I493" s="20" t="inlineStr">
        <is>
          <t>PENDING</t>
        </is>
      </c>
      <c r="J493" s="20" t="inlineStr">
        <is>
          <t>PENDING</t>
        </is>
      </c>
      <c r="K493" s="20" t="inlineStr">
        <is>
          <t>待确认</t>
        </is>
      </c>
      <c r="L493" s="20">
        <f>IF(B493="","",IF(OR(F493="FAIL",K493="泄漏"),"DROP",IF(G493="FAIL","RELABEL",IF(OR(H493="FAIL",I493="FAIL",J493="FAIL"),"REWORK",IF(COUNTIF(F493:J493,"PENDING")&gt;0,"PENDING","REUSE")))))</f>
        <v/>
      </c>
      <c r="M493" s="20" t="inlineStr">
        <is>
          <t>PENDING</t>
        </is>
      </c>
      <c r="N493" s="20" t="str"/>
      <c r="O493" s="20" t="str"/>
      <c r="P493" s="20" t="str"/>
      <c r="Q493" s="20" t="inlineStr">
        <is>
          <t>待确认</t>
        </is>
      </c>
      <c r="R493" s="20" t="inlineStr">
        <is>
          <t>未开始</t>
        </is>
      </c>
      <c r="S493">
        <f>IF(B493="","",IF(E493="已暴露","DEV_REG_ONLY","ANY"))</f>
        <v/>
      </c>
    </row>
    <row r="494">
      <c r="A494" s="20" t="n">
        <v>491</v>
      </c>
      <c r="B494" s="20" t="str"/>
      <c r="C494" s="20" t="str"/>
      <c r="D494" s="20" t="str"/>
      <c r="E494" s="20" t="str"/>
      <c r="F494" s="20" t="inlineStr">
        <is>
          <t>PENDING</t>
        </is>
      </c>
      <c r="G494" s="20" t="inlineStr">
        <is>
          <t>PENDING</t>
        </is>
      </c>
      <c r="H494" s="20" t="inlineStr">
        <is>
          <t>PENDING</t>
        </is>
      </c>
      <c r="I494" s="20" t="inlineStr">
        <is>
          <t>PENDING</t>
        </is>
      </c>
      <c r="J494" s="20" t="inlineStr">
        <is>
          <t>PENDING</t>
        </is>
      </c>
      <c r="K494" s="20" t="inlineStr">
        <is>
          <t>待确认</t>
        </is>
      </c>
      <c r="L494" s="20">
        <f>IF(B494="","",IF(OR(F494="FAIL",K494="泄漏"),"DROP",IF(G494="FAIL","RELABEL",IF(OR(H494="FAIL",I494="FAIL",J494="FAIL"),"REWORK",IF(COUNTIF(F494:J494,"PENDING")&gt;0,"PENDING","REUSE")))))</f>
        <v/>
      </c>
      <c r="M494" s="20" t="inlineStr">
        <is>
          <t>PENDING</t>
        </is>
      </c>
      <c r="N494" s="20" t="str"/>
      <c r="O494" s="20" t="str"/>
      <c r="P494" s="20" t="str"/>
      <c r="Q494" s="20" t="inlineStr">
        <is>
          <t>待确认</t>
        </is>
      </c>
      <c r="R494" s="20" t="inlineStr">
        <is>
          <t>未开始</t>
        </is>
      </c>
      <c r="S494">
        <f>IF(B494="","",IF(E494="已暴露","DEV_REG_ONLY","ANY"))</f>
        <v/>
      </c>
    </row>
    <row r="495">
      <c r="A495" s="20" t="n">
        <v>492</v>
      </c>
      <c r="B495" s="20" t="str"/>
      <c r="C495" s="20" t="str"/>
      <c r="D495" s="20" t="str"/>
      <c r="E495" s="20" t="str"/>
      <c r="F495" s="20" t="inlineStr">
        <is>
          <t>PENDING</t>
        </is>
      </c>
      <c r="G495" s="20" t="inlineStr">
        <is>
          <t>PENDING</t>
        </is>
      </c>
      <c r="H495" s="20" t="inlineStr">
        <is>
          <t>PENDING</t>
        </is>
      </c>
      <c r="I495" s="20" t="inlineStr">
        <is>
          <t>PENDING</t>
        </is>
      </c>
      <c r="J495" s="20" t="inlineStr">
        <is>
          <t>PENDING</t>
        </is>
      </c>
      <c r="K495" s="20" t="inlineStr">
        <is>
          <t>待确认</t>
        </is>
      </c>
      <c r="L495" s="20">
        <f>IF(B495="","",IF(OR(F495="FAIL",K495="泄漏"),"DROP",IF(G495="FAIL","RELABEL",IF(OR(H495="FAIL",I495="FAIL",J495="FAIL"),"REWORK",IF(COUNTIF(F495:J495,"PENDING")&gt;0,"PENDING","REUSE")))))</f>
        <v/>
      </c>
      <c r="M495" s="20" t="inlineStr">
        <is>
          <t>PENDING</t>
        </is>
      </c>
      <c r="N495" s="20" t="str"/>
      <c r="O495" s="20" t="str"/>
      <c r="P495" s="20" t="str"/>
      <c r="Q495" s="20" t="inlineStr">
        <is>
          <t>待确认</t>
        </is>
      </c>
      <c r="R495" s="20" t="inlineStr">
        <is>
          <t>未开始</t>
        </is>
      </c>
      <c r="S495">
        <f>IF(B495="","",IF(E495="已暴露","DEV_REG_ONLY","ANY"))</f>
        <v/>
      </c>
    </row>
    <row r="496">
      <c r="A496" s="20" t="n">
        <v>493</v>
      </c>
      <c r="B496" s="20" t="str"/>
      <c r="C496" s="20" t="str"/>
      <c r="D496" s="20" t="str"/>
      <c r="E496" s="20" t="str"/>
      <c r="F496" s="20" t="inlineStr">
        <is>
          <t>PENDING</t>
        </is>
      </c>
      <c r="G496" s="20" t="inlineStr">
        <is>
          <t>PENDING</t>
        </is>
      </c>
      <c r="H496" s="20" t="inlineStr">
        <is>
          <t>PENDING</t>
        </is>
      </c>
      <c r="I496" s="20" t="inlineStr">
        <is>
          <t>PENDING</t>
        </is>
      </c>
      <c r="J496" s="20" t="inlineStr">
        <is>
          <t>PENDING</t>
        </is>
      </c>
      <c r="K496" s="20" t="inlineStr">
        <is>
          <t>待确认</t>
        </is>
      </c>
      <c r="L496" s="20">
        <f>IF(B496="","",IF(OR(F496="FAIL",K496="泄漏"),"DROP",IF(G496="FAIL","RELABEL",IF(OR(H496="FAIL",I496="FAIL",J496="FAIL"),"REWORK",IF(COUNTIF(F496:J496,"PENDING")&gt;0,"PENDING","REUSE")))))</f>
        <v/>
      </c>
      <c r="M496" s="20" t="inlineStr">
        <is>
          <t>PENDING</t>
        </is>
      </c>
      <c r="N496" s="20" t="str"/>
      <c r="O496" s="20" t="str"/>
      <c r="P496" s="20" t="str"/>
      <c r="Q496" s="20" t="inlineStr">
        <is>
          <t>待确认</t>
        </is>
      </c>
      <c r="R496" s="20" t="inlineStr">
        <is>
          <t>未开始</t>
        </is>
      </c>
      <c r="S496">
        <f>IF(B496="","",IF(E496="已暴露","DEV_REG_ONLY","ANY"))</f>
        <v/>
      </c>
    </row>
    <row r="497">
      <c r="A497" s="20" t="n">
        <v>494</v>
      </c>
      <c r="B497" s="20" t="str"/>
      <c r="C497" s="20" t="str"/>
      <c r="D497" s="20" t="str"/>
      <c r="E497" s="20" t="str"/>
      <c r="F497" s="20" t="inlineStr">
        <is>
          <t>PENDING</t>
        </is>
      </c>
      <c r="G497" s="20" t="inlineStr">
        <is>
          <t>PENDING</t>
        </is>
      </c>
      <c r="H497" s="20" t="inlineStr">
        <is>
          <t>PENDING</t>
        </is>
      </c>
      <c r="I497" s="20" t="inlineStr">
        <is>
          <t>PENDING</t>
        </is>
      </c>
      <c r="J497" s="20" t="inlineStr">
        <is>
          <t>PENDING</t>
        </is>
      </c>
      <c r="K497" s="20" t="inlineStr">
        <is>
          <t>待确认</t>
        </is>
      </c>
      <c r="L497" s="20">
        <f>IF(B497="","",IF(OR(F497="FAIL",K497="泄漏"),"DROP",IF(G497="FAIL","RELABEL",IF(OR(H497="FAIL",I497="FAIL",J497="FAIL"),"REWORK",IF(COUNTIF(F497:J497,"PENDING")&gt;0,"PENDING","REUSE")))))</f>
        <v/>
      </c>
      <c r="M497" s="20" t="inlineStr">
        <is>
          <t>PENDING</t>
        </is>
      </c>
      <c r="N497" s="20" t="str"/>
      <c r="O497" s="20" t="str"/>
      <c r="P497" s="20" t="str"/>
      <c r="Q497" s="20" t="inlineStr">
        <is>
          <t>待确认</t>
        </is>
      </c>
      <c r="R497" s="20" t="inlineStr">
        <is>
          <t>未开始</t>
        </is>
      </c>
      <c r="S497">
        <f>IF(B497="","",IF(E497="已暴露","DEV_REG_ONLY","ANY"))</f>
        <v/>
      </c>
    </row>
    <row r="498">
      <c r="A498" s="20" t="n">
        <v>495</v>
      </c>
      <c r="B498" s="20" t="str"/>
      <c r="C498" s="20" t="str"/>
      <c r="D498" s="20" t="str"/>
      <c r="E498" s="20" t="str"/>
      <c r="F498" s="20" t="inlineStr">
        <is>
          <t>PENDING</t>
        </is>
      </c>
      <c r="G498" s="20" t="inlineStr">
        <is>
          <t>PENDING</t>
        </is>
      </c>
      <c r="H498" s="20" t="inlineStr">
        <is>
          <t>PENDING</t>
        </is>
      </c>
      <c r="I498" s="20" t="inlineStr">
        <is>
          <t>PENDING</t>
        </is>
      </c>
      <c r="J498" s="20" t="inlineStr">
        <is>
          <t>PENDING</t>
        </is>
      </c>
      <c r="K498" s="20" t="inlineStr">
        <is>
          <t>待确认</t>
        </is>
      </c>
      <c r="L498" s="20">
        <f>IF(B498="","",IF(OR(F498="FAIL",K498="泄漏"),"DROP",IF(G498="FAIL","RELABEL",IF(OR(H498="FAIL",I498="FAIL",J498="FAIL"),"REWORK",IF(COUNTIF(F498:J498,"PENDING")&gt;0,"PENDING","REUSE")))))</f>
        <v/>
      </c>
      <c r="M498" s="20" t="inlineStr">
        <is>
          <t>PENDING</t>
        </is>
      </c>
      <c r="N498" s="20" t="str"/>
      <c r="O498" s="20" t="str"/>
      <c r="P498" s="20" t="str"/>
      <c r="Q498" s="20" t="inlineStr">
        <is>
          <t>待确认</t>
        </is>
      </c>
      <c r="R498" s="20" t="inlineStr">
        <is>
          <t>未开始</t>
        </is>
      </c>
      <c r="S498">
        <f>IF(B498="","",IF(E498="已暴露","DEV_REG_ONLY","ANY"))</f>
        <v/>
      </c>
    </row>
    <row r="499">
      <c r="A499" s="20" t="n">
        <v>496</v>
      </c>
      <c r="B499" s="20" t="str"/>
      <c r="C499" s="20" t="str"/>
      <c r="D499" s="20" t="str"/>
      <c r="E499" s="20" t="str"/>
      <c r="F499" s="20" t="inlineStr">
        <is>
          <t>PENDING</t>
        </is>
      </c>
      <c r="G499" s="20" t="inlineStr">
        <is>
          <t>PENDING</t>
        </is>
      </c>
      <c r="H499" s="20" t="inlineStr">
        <is>
          <t>PENDING</t>
        </is>
      </c>
      <c r="I499" s="20" t="inlineStr">
        <is>
          <t>PENDING</t>
        </is>
      </c>
      <c r="J499" s="20" t="inlineStr">
        <is>
          <t>PENDING</t>
        </is>
      </c>
      <c r="K499" s="20" t="inlineStr">
        <is>
          <t>待确认</t>
        </is>
      </c>
      <c r="L499" s="20">
        <f>IF(B499="","",IF(OR(F499="FAIL",K499="泄漏"),"DROP",IF(G499="FAIL","RELABEL",IF(OR(H499="FAIL",I499="FAIL",J499="FAIL"),"REWORK",IF(COUNTIF(F499:J499,"PENDING")&gt;0,"PENDING","REUSE")))))</f>
        <v/>
      </c>
      <c r="M499" s="20" t="inlineStr">
        <is>
          <t>PENDING</t>
        </is>
      </c>
      <c r="N499" s="20" t="str"/>
      <c r="O499" s="20" t="str"/>
      <c r="P499" s="20" t="str"/>
      <c r="Q499" s="20" t="inlineStr">
        <is>
          <t>待确认</t>
        </is>
      </c>
      <c r="R499" s="20" t="inlineStr">
        <is>
          <t>未开始</t>
        </is>
      </c>
      <c r="S499">
        <f>IF(B499="","",IF(E499="已暴露","DEV_REG_ONLY","ANY"))</f>
        <v/>
      </c>
    </row>
    <row r="500">
      <c r="A500" s="20" t="n">
        <v>497</v>
      </c>
      <c r="B500" s="20" t="str"/>
      <c r="C500" s="20" t="str"/>
      <c r="D500" s="20" t="str"/>
      <c r="E500" s="20" t="str"/>
      <c r="F500" s="20" t="inlineStr">
        <is>
          <t>PENDING</t>
        </is>
      </c>
      <c r="G500" s="20" t="inlineStr">
        <is>
          <t>PENDING</t>
        </is>
      </c>
      <c r="H500" s="20" t="inlineStr">
        <is>
          <t>PENDING</t>
        </is>
      </c>
      <c r="I500" s="20" t="inlineStr">
        <is>
          <t>PENDING</t>
        </is>
      </c>
      <c r="J500" s="20" t="inlineStr">
        <is>
          <t>PENDING</t>
        </is>
      </c>
      <c r="K500" s="20" t="inlineStr">
        <is>
          <t>待确认</t>
        </is>
      </c>
      <c r="L500" s="20">
        <f>IF(B500="","",IF(OR(F500="FAIL",K500="泄漏"),"DROP",IF(G500="FAIL","RELABEL",IF(OR(H500="FAIL",I500="FAIL",J500="FAIL"),"REWORK",IF(COUNTIF(F500:J500,"PENDING")&gt;0,"PENDING","REUSE")))))</f>
        <v/>
      </c>
      <c r="M500" s="20" t="inlineStr">
        <is>
          <t>PENDING</t>
        </is>
      </c>
      <c r="N500" s="20" t="str"/>
      <c r="O500" s="20" t="str"/>
      <c r="P500" s="20" t="str"/>
      <c r="Q500" s="20" t="inlineStr">
        <is>
          <t>待确认</t>
        </is>
      </c>
      <c r="R500" s="20" t="inlineStr">
        <is>
          <t>未开始</t>
        </is>
      </c>
      <c r="S500">
        <f>IF(B500="","",IF(E500="已暴露","DEV_REG_ONLY","ANY"))</f>
        <v/>
      </c>
    </row>
    <row r="501">
      <c r="A501" s="20" t="n">
        <v>498</v>
      </c>
      <c r="B501" s="20" t="str"/>
      <c r="C501" s="20" t="str"/>
      <c r="D501" s="20" t="str"/>
      <c r="E501" s="20" t="str"/>
      <c r="F501" s="20" t="inlineStr">
        <is>
          <t>PENDING</t>
        </is>
      </c>
      <c r="G501" s="20" t="inlineStr">
        <is>
          <t>PENDING</t>
        </is>
      </c>
      <c r="H501" s="20" t="inlineStr">
        <is>
          <t>PENDING</t>
        </is>
      </c>
      <c r="I501" s="20" t="inlineStr">
        <is>
          <t>PENDING</t>
        </is>
      </c>
      <c r="J501" s="20" t="inlineStr">
        <is>
          <t>PENDING</t>
        </is>
      </c>
      <c r="K501" s="20" t="inlineStr">
        <is>
          <t>待确认</t>
        </is>
      </c>
      <c r="L501" s="20">
        <f>IF(B501="","",IF(OR(F501="FAIL",K501="泄漏"),"DROP",IF(G501="FAIL","RELABEL",IF(OR(H501="FAIL",I501="FAIL",J501="FAIL"),"REWORK",IF(COUNTIF(F501:J501,"PENDING")&gt;0,"PENDING","REUSE")))))</f>
        <v/>
      </c>
      <c r="M501" s="20" t="inlineStr">
        <is>
          <t>PENDING</t>
        </is>
      </c>
      <c r="N501" s="20" t="str"/>
      <c r="O501" s="20" t="str"/>
      <c r="P501" s="20" t="str"/>
      <c r="Q501" s="20" t="inlineStr">
        <is>
          <t>待确认</t>
        </is>
      </c>
      <c r="R501" s="20" t="inlineStr">
        <is>
          <t>未开始</t>
        </is>
      </c>
      <c r="S501">
        <f>IF(B501="","",IF(E501="已暴露","DEV_REG_ONLY","ANY"))</f>
        <v/>
      </c>
    </row>
    <row r="502">
      <c r="A502" s="20" t="n">
        <v>499</v>
      </c>
      <c r="B502" s="20" t="str"/>
      <c r="C502" s="20" t="str"/>
      <c r="D502" s="20" t="str"/>
      <c r="E502" s="20" t="str"/>
      <c r="F502" s="20" t="inlineStr">
        <is>
          <t>PENDING</t>
        </is>
      </c>
      <c r="G502" s="20" t="inlineStr">
        <is>
          <t>PENDING</t>
        </is>
      </c>
      <c r="H502" s="20" t="inlineStr">
        <is>
          <t>PENDING</t>
        </is>
      </c>
      <c r="I502" s="20" t="inlineStr">
        <is>
          <t>PENDING</t>
        </is>
      </c>
      <c r="J502" s="20" t="inlineStr">
        <is>
          <t>PENDING</t>
        </is>
      </c>
      <c r="K502" s="20" t="inlineStr">
        <is>
          <t>待确认</t>
        </is>
      </c>
      <c r="L502" s="20">
        <f>IF(B502="","",IF(OR(F502="FAIL",K502="泄漏"),"DROP",IF(G502="FAIL","RELABEL",IF(OR(H502="FAIL",I502="FAIL",J502="FAIL"),"REWORK",IF(COUNTIF(F502:J502,"PENDING")&gt;0,"PENDING","REUSE")))))</f>
        <v/>
      </c>
      <c r="M502" s="20" t="inlineStr">
        <is>
          <t>PENDING</t>
        </is>
      </c>
      <c r="N502" s="20" t="str"/>
      <c r="O502" s="20" t="str"/>
      <c r="P502" s="20" t="str"/>
      <c r="Q502" s="20" t="inlineStr">
        <is>
          <t>待确认</t>
        </is>
      </c>
      <c r="R502" s="20" t="inlineStr">
        <is>
          <t>未开始</t>
        </is>
      </c>
      <c r="S502">
        <f>IF(B502="","",IF(E502="已暴露","DEV_REG_ONLY","ANY"))</f>
        <v/>
      </c>
    </row>
    <row r="503">
      <c r="A503" s="20" t="n">
        <v>500</v>
      </c>
      <c r="B503" s="20" t="str"/>
      <c r="C503" s="20" t="str"/>
      <c r="D503" s="20" t="str"/>
      <c r="E503" s="20" t="str"/>
      <c r="F503" s="20" t="inlineStr">
        <is>
          <t>PENDING</t>
        </is>
      </c>
      <c r="G503" s="20" t="inlineStr">
        <is>
          <t>PENDING</t>
        </is>
      </c>
      <c r="H503" s="20" t="inlineStr">
        <is>
          <t>PENDING</t>
        </is>
      </c>
      <c r="I503" s="20" t="inlineStr">
        <is>
          <t>PENDING</t>
        </is>
      </c>
      <c r="J503" s="20" t="inlineStr">
        <is>
          <t>PENDING</t>
        </is>
      </c>
      <c r="K503" s="20" t="inlineStr">
        <is>
          <t>待确认</t>
        </is>
      </c>
      <c r="L503" s="20">
        <f>IF(B503="","",IF(OR(F503="FAIL",K503="泄漏"),"DROP",IF(G503="FAIL","RELABEL",IF(OR(H503="FAIL",I503="FAIL",J503="FAIL"),"REWORK",IF(COUNTIF(F503:J503,"PENDING")&gt;0,"PENDING","REUSE")))))</f>
        <v/>
      </c>
      <c r="M503" s="20" t="inlineStr">
        <is>
          <t>PENDING</t>
        </is>
      </c>
      <c r="N503" s="20" t="str"/>
      <c r="O503" s="20" t="str"/>
      <c r="P503" s="20" t="str"/>
      <c r="Q503" s="20" t="inlineStr">
        <is>
          <t>待确认</t>
        </is>
      </c>
      <c r="R503" s="20" t="inlineStr">
        <is>
          <t>未开始</t>
        </is>
      </c>
      <c r="S503">
        <f>IF(B503="","",IF(E503="已暴露","DEV_REG_ONLY","ANY"))</f>
        <v/>
      </c>
    </row>
  </sheetData>
  <mergeCells count="1">
    <mergeCell ref="A1:R1"/>
  </mergeCells>
  <dataValidations count="9">
    <dataValidation sqref="F4:F503" showDropDown="0" showInputMessage="0" showErrorMessage="0" allowBlank="0" type="list">
      <formula1>"PENDING,PASS,FAIL,BLOCKED,N/A"</formula1>
    </dataValidation>
    <dataValidation sqref="G4:G503" showDropDown="0" showInputMessage="0" showErrorMessage="0" allowBlank="0" type="list">
      <formula1>"PENDING,PASS,FAIL,BLOCKED,N/A"</formula1>
    </dataValidation>
    <dataValidation sqref="H4:H503" showDropDown="0" showInputMessage="0" showErrorMessage="0" allowBlank="0" type="list">
      <formula1>"PENDING,PASS,FAIL,BLOCKED,N/A"</formula1>
    </dataValidation>
    <dataValidation sqref="I4:I503" showDropDown="0" showInputMessage="0" showErrorMessage="0" allowBlank="0" type="list">
      <formula1>"PENDING,PASS,FAIL,BLOCKED,N/A"</formula1>
    </dataValidation>
    <dataValidation sqref="J4:J503" showDropDown="0" showInputMessage="0" showErrorMessage="0" allowBlank="0" type="list">
      <formula1>"PENDING,PASS,FAIL,BLOCKED,N/A"</formula1>
    </dataValidation>
    <dataValidation sqref="K4:K503" showDropDown="0" showInputMessage="0" showErrorMessage="0" allowBlank="0" type="list">
      <formula1>"无泄漏,泄漏,待确认"</formula1>
    </dataValidation>
    <dataValidation sqref="L4:M503" showDropDown="0" showInputMessage="0" showErrorMessage="0" allowBlank="0" type="list">
      <formula1>"PENDING,REUSE,REWORK,RELABEL,DROP"</formula1>
    </dataValidation>
    <dataValidation sqref="Q4:Q503" showDropDown="0" showInputMessage="0" showErrorMessage="0" allowBlank="0" type="list">
      <formula1>"是,否,待确认"</formula1>
    </dataValidation>
    <dataValidation sqref="R4:R503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3" customWidth="1" min="9" max="9"/>
    <col width="20" customWidth="1" min="10" max="10"/>
    <col width="24" customWidth="1" min="11" max="11"/>
  </cols>
  <sheetData>
    <row r="1" ht="28" customHeight="1">
      <c r="A1" s="9" t="inlineStr">
        <is>
          <t>Q7闭环｜Legacy accepted 自动抵扣785目标；候选池按缺口×1.30计算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3">
      <c r="A3" s="13" t="inlineStr">
        <is>
          <t>任务</t>
        </is>
      </c>
      <c r="B3" s="13" t="inlineStr">
        <is>
          <t>正式目标</t>
        </is>
      </c>
      <c r="C3" s="13" t="inlineStr">
        <is>
          <t>Accepted Legacy</t>
        </is>
      </c>
      <c r="D3" s="13" t="inlineStr">
        <is>
          <t>新Gold缺口</t>
        </is>
      </c>
      <c r="E3" s="13" t="inlineStr">
        <is>
          <t>候选倍率</t>
        </is>
      </c>
      <c r="F3" s="13" t="inlineStr">
        <is>
          <t>Candidate需求</t>
        </is>
      </c>
      <c r="G3" s="13" t="inlineStr">
        <is>
          <t>Legacy可抵扣?</t>
        </is>
      </c>
      <c r="H3" s="13" t="inlineStr">
        <is>
          <t>困难比例</t>
        </is>
      </c>
      <c r="I3" s="13" t="inlineStr">
        <is>
          <t>困难数下限</t>
        </is>
      </c>
      <c r="J3" s="13" t="inlineStr">
        <is>
          <t>来源约束</t>
        </is>
      </c>
      <c r="K3" s="13" t="inlineStr">
        <is>
          <t>备注</t>
        </is>
      </c>
    </row>
    <row r="4">
      <c r="A4" t="inlineStr">
        <is>
          <t>Preference</t>
        </is>
      </c>
      <c r="B4" t="n">
        <v>225</v>
      </c>
      <c r="C4">
        <f>COUNTIFS('03_LegacyRequal'!$O$4:$O$503,A4,'03_LegacyRequal'!$R$4:$R$503,"完成",'03_LegacyRequal'!$M$4:$M$503,"REUSE")+COUNTIFS('03_LegacyRequal'!$O$4:$O$503,A4,'03_LegacyRequal'!$R$4:$R$503,"完成",'03_LegacyRequal'!$M$4:$M$503,"REWORK")+COUNTIFS('03_LegacyRequal'!$O$4:$O$503,A4,'03_LegacyRequal'!$R$4:$R$503,"完成",'03_LegacyRequal'!$M$4:$M$503,"RELABEL")</f>
        <v/>
      </c>
      <c r="D4">
        <f>MAX(0,B4-C4)</f>
        <v/>
      </c>
      <c r="E4" t="n">
        <v>1.3</v>
      </c>
      <c r="F4">
        <f>ROUNDUP(D4*E4,0)</f>
        <v/>
      </c>
      <c r="G4" t="inlineStr">
        <is>
          <t>是</t>
        </is>
      </c>
      <c r="H4" t="n">
        <v>0.25</v>
      </c>
      <c r="I4">
        <f>ROUNDUP(B4*H4,0)</f>
        <v/>
      </c>
      <c r="J4" t="inlineStr">
        <is>
          <t>Public+OS</t>
        </is>
      </c>
    </row>
    <row r="5">
      <c r="A5" t="inlineStr">
        <is>
          <t>Retrieval Query</t>
        </is>
      </c>
      <c r="B5" t="n">
        <v>175</v>
      </c>
      <c r="C5">
        <f>COUNTIFS('03_LegacyRequal'!$O$4:$O$503,A5,'03_LegacyRequal'!$R$4:$R$503,"完成",'03_LegacyRequal'!$M$4:$M$503,"REUSE")+COUNTIFS('03_LegacyRequal'!$O$4:$O$503,A5,'03_LegacyRequal'!$R$4:$R$503,"完成",'03_LegacyRequal'!$M$4:$M$503,"REWORK")+COUNTIFS('03_LegacyRequal'!$O$4:$O$503,A5,'03_LegacyRequal'!$R$4:$R$503,"完成",'03_LegacyRequal'!$M$4:$M$503,"RELABEL")</f>
        <v/>
      </c>
      <c r="D5">
        <f>MAX(0,B5-C5)</f>
        <v/>
      </c>
      <c r="E5" t="n">
        <v>1.3</v>
      </c>
      <c r="F5">
        <f>ROUNDUP(D5*E5,0)</f>
        <v/>
      </c>
      <c r="G5" t="inlineStr">
        <is>
          <t>是</t>
        </is>
      </c>
      <c r="H5" t="n">
        <v>0.3</v>
      </c>
      <c r="I5">
        <f>ROUNDUP(B5*H5,0)</f>
        <v/>
      </c>
      <c r="J5" t="inlineStr">
        <is>
          <t>Public+OS</t>
        </is>
      </c>
    </row>
    <row r="6">
      <c r="A6" t="inlineStr">
        <is>
          <t>Conflict</t>
        </is>
      </c>
      <c r="B6" t="n">
        <v>125</v>
      </c>
      <c r="C6">
        <f>COUNTIFS('03_LegacyRequal'!$O$4:$O$503,A6,'03_LegacyRequal'!$R$4:$R$503,"完成",'03_LegacyRequal'!$M$4:$M$503,"REUSE")+COUNTIFS('03_LegacyRequal'!$O$4:$O$503,A6,'03_LegacyRequal'!$R$4:$R$503,"完成",'03_LegacyRequal'!$M$4:$M$503,"REWORK")+COUNTIFS('03_LegacyRequal'!$O$4:$O$503,A6,'03_LegacyRequal'!$R$4:$R$503,"完成",'03_LegacyRequal'!$M$4:$M$503,"RELABEL")</f>
        <v/>
      </c>
      <c r="D6">
        <f>MAX(0,B6-C6)</f>
        <v/>
      </c>
      <c r="E6" t="n">
        <v>1.3</v>
      </c>
      <c r="F6">
        <f>ROUNDUP(D6*E6,0)</f>
        <v/>
      </c>
      <c r="G6" t="inlineStr">
        <is>
          <t>是</t>
        </is>
      </c>
      <c r="H6" t="n">
        <v>0.35</v>
      </c>
      <c r="I6">
        <f>ROUNDUP(B6*H6,0)</f>
        <v/>
      </c>
      <c r="J6" t="inlineStr">
        <is>
          <t>Public+OS</t>
        </is>
      </c>
    </row>
    <row r="7">
      <c r="A7" t="inlineStr">
        <is>
          <t>Forgetting</t>
        </is>
      </c>
      <c r="B7" t="n">
        <v>100</v>
      </c>
      <c r="C7">
        <f>COUNTIFS('03_LegacyRequal'!$O$4:$O$503,A7,'03_LegacyRequal'!$R$4:$R$503,"完成",'03_LegacyRequal'!$M$4:$M$503,"REUSE")+COUNTIFS('03_LegacyRequal'!$O$4:$O$503,A7,'03_LegacyRequal'!$R$4:$R$503,"完成",'03_LegacyRequal'!$M$4:$M$503,"REWORK")+COUNTIFS('03_LegacyRequal'!$O$4:$O$503,A7,'03_LegacyRequal'!$R$4:$R$503,"完成",'03_LegacyRequal'!$M$4:$M$503,"RELABEL")</f>
        <v/>
      </c>
      <c r="D7">
        <f>MAX(0,B7-C7)</f>
        <v/>
      </c>
      <c r="E7" t="n">
        <v>1.3</v>
      </c>
      <c r="F7">
        <f>ROUNDUP(D7*E7,0)</f>
        <v/>
      </c>
      <c r="G7" t="inlineStr">
        <is>
          <t>是</t>
        </is>
      </c>
      <c r="H7" t="n">
        <v>0.3</v>
      </c>
      <c r="I7">
        <f>ROUNDUP(B7*H7,0)</f>
        <v/>
      </c>
      <c r="J7" t="inlineStr">
        <is>
          <t>Public+OS</t>
        </is>
      </c>
    </row>
    <row r="8">
      <c r="A8" t="inlineStr">
        <is>
          <t>Tool Result</t>
        </is>
      </c>
      <c r="B8" t="n">
        <v>125</v>
      </c>
      <c r="C8">
        <f>0</f>
        <v/>
      </c>
      <c r="D8">
        <f>MAX(0,B8-C8)</f>
        <v/>
      </c>
      <c r="E8" t="n">
        <v>1</v>
      </c>
      <c r="F8">
        <f>D8</f>
        <v/>
      </c>
      <c r="G8" t="inlineStr">
        <is>
          <t>否</t>
        </is>
      </c>
      <c r="H8" t="n">
        <v>0.3</v>
      </c>
      <c r="I8">
        <f>ROUNDUP(B8*H8,0)</f>
        <v/>
      </c>
      <c r="J8" t="inlineStr">
        <is>
          <t>Runtime固定</t>
        </is>
      </c>
      <c r="K8" t="inlineStr">
        <is>
          <t>Runtime静态Legacy不得抵扣；由Gold-eligible session实际事件产生</t>
        </is>
      </c>
    </row>
    <row r="9">
      <c r="A9" t="inlineStr">
        <is>
          <t>E2E</t>
        </is>
      </c>
      <c r="B9" t="n">
        <v>35</v>
      </c>
      <c r="C9">
        <f>0</f>
        <v/>
      </c>
      <c r="D9">
        <f>MAX(0,B9-C9)</f>
        <v/>
      </c>
      <c r="E9" t="n">
        <v>1</v>
      </c>
      <c r="F9">
        <f>D9</f>
        <v/>
      </c>
      <c r="G9" t="inlineStr">
        <is>
          <t>否</t>
        </is>
      </c>
      <c r="H9" t="n">
        <v>0.4</v>
      </c>
      <c r="I9">
        <f>ROUNDUP(B9*H9,0)</f>
        <v/>
      </c>
      <c r="J9" t="inlineStr">
        <is>
          <t>Runtime固定</t>
        </is>
      </c>
      <c r="K9" t="inlineStr">
        <is>
          <t>Runtime静态Legacy不得抵扣；由Gold-eligible session实际事件产生</t>
        </is>
      </c>
    </row>
    <row r="10">
      <c r="A10" t="inlineStr">
        <is>
          <t>Gold合计</t>
        </is>
      </c>
      <c r="B10" t="n">
        <v>785</v>
      </c>
      <c r="C10">
        <f>SUM(C4:C9)</f>
        <v/>
      </c>
      <c r="D10">
        <f>SUM(D4:D9)</f>
        <v/>
      </c>
      <c r="E10" t="inlineStr">
        <is>
          <t>—</t>
        </is>
      </c>
      <c r="F10">
        <f>SUM(F4:F9)</f>
        <v/>
      </c>
      <c r="G10" t="inlineStr">
        <is>
          <t>—</t>
        </is>
      </c>
      <c r="H10" t="inlineStr">
        <is>
          <t>—</t>
        </is>
      </c>
      <c r="I10">
        <f>SUM(I4:I9)</f>
        <v/>
      </c>
      <c r="J10" t="inlineStr">
        <is>
          <t>Public/OS/Runtime</t>
        </is>
      </c>
    </row>
    <row r="12">
      <c r="A12" s="13" t="inlineStr">
        <is>
          <t>对象</t>
        </is>
      </c>
      <c r="B12" s="13" t="inlineStr">
        <is>
          <t>目标</t>
        </is>
      </c>
      <c r="C12" s="13" t="inlineStr">
        <is>
          <t>Accepted/现状</t>
        </is>
      </c>
      <c r="D12" s="13" t="inlineStr">
        <is>
          <t>新增缺口</t>
        </is>
      </c>
      <c r="E12" s="13" t="inlineStr">
        <is>
          <t>候选倍率</t>
        </is>
      </c>
      <c r="F12" s="13" t="inlineStr">
        <is>
          <t>Candidate需求</t>
        </is>
      </c>
    </row>
    <row r="13">
      <c r="A13" t="inlineStr">
        <is>
          <t>Memory KB</t>
        </is>
      </c>
      <c r="B13" t="n">
        <v>400</v>
      </c>
      <c r="C13" t="n">
        <v>0</v>
      </c>
      <c r="D13">
        <f>MAX(0,B13-C13)</f>
        <v/>
      </c>
      <c r="E13" t="n">
        <v>1.3</v>
      </c>
      <c r="F13">
        <f>ROUNDUP(D13*E13,0)</f>
        <v/>
      </c>
    </row>
    <row r="14">
      <c r="A14" t="inlineStr">
        <is>
          <t>Runtime Gold-eligible Sessions</t>
        </is>
      </c>
      <c r="B14" t="n">
        <v>35</v>
      </c>
      <c r="C14" t="n">
        <v>0</v>
      </c>
      <c r="D14">
        <f>MAX(0,B14-C14)</f>
        <v/>
      </c>
      <c r="E14" t="n">
        <v>1</v>
      </c>
      <c r="F14">
        <f>D14</f>
        <v/>
      </c>
    </row>
    <row r="15">
      <c r="A15" t="inlineStr">
        <is>
          <t>Runtime Script Pool</t>
        </is>
      </c>
      <c r="B15" t="n">
        <v>45</v>
      </c>
      <c r="C15" t="n">
        <v>0</v>
      </c>
      <c r="D15" t="n">
        <v>45</v>
      </c>
      <c r="E15" t="n">
        <v>1</v>
      </c>
      <c r="F15" t="n">
        <v>45</v>
      </c>
    </row>
    <row r="16">
      <c r="A16" t="inlineStr">
        <is>
          <t>Calibration fresh</t>
        </is>
      </c>
      <c r="B16" t="n">
        <v>40</v>
      </c>
      <c r="C16" t="n">
        <v>0</v>
      </c>
      <c r="D16" t="n">
        <v>40</v>
      </c>
      <c r="E16" t="n">
        <v>1</v>
      </c>
      <c r="F16" t="n">
        <v>40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25" customWidth="1" min="5" max="5"/>
    <col width="25" customWidth="1" min="6" max="6"/>
    <col width="36" customWidth="1" min="7" max="7"/>
    <col width="19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24" customWidth="1" min="14" max="14"/>
    <col width="12" customWidth="1" min="16" max="16"/>
    <col width="28" customWidth="1" min="17" max="17"/>
    <col width="38" customWidth="1" min="18" max="18"/>
    <col width="34" customWidth="1" min="19" max="19"/>
    <col width="34" customWidth="1" min="20" max="20"/>
    <col width="30" customWidth="1" min="21" max="21"/>
  </cols>
  <sheetData>
    <row r="1" ht="28" customHeight="1">
      <c r="A1" s="9" t="inlineStr">
        <is>
          <t>Q2闭环｜Seal Generation不可覆盖：污染就REVOKE，新代次重封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>
      <c r="A3" s="13" t="inlineStr">
        <is>
          <t>seal_generation</t>
        </is>
      </c>
      <c r="B3" s="13" t="inlineStr">
        <is>
          <t>created_at</t>
        </is>
      </c>
      <c r="C3" s="13" t="inlineStr">
        <is>
          <t>status</t>
        </is>
      </c>
      <c r="D3" s="13" t="inlineStr">
        <is>
          <t>dataset_version</t>
        </is>
      </c>
      <c r="E3" s="13" t="inlineStr">
        <is>
          <t>split_manifest_sha</t>
        </is>
      </c>
      <c r="F3" s="13" t="inlineStr">
        <is>
          <t>sealed_sha</t>
        </is>
      </c>
      <c r="G3" s="13" t="inlineStr">
        <is>
          <t>revocation_reason</t>
        </is>
      </c>
      <c r="H3" s="13" t="inlineStr">
        <is>
          <t>exposed_sample_count</t>
        </is>
      </c>
      <c r="I3" s="13" t="inlineStr">
        <is>
          <t>fingerprints_registered</t>
        </is>
      </c>
      <c r="J3" s="13" t="inlineStr">
        <is>
          <t>parent_seal</t>
        </is>
      </c>
      <c r="K3" s="13" t="inlineStr">
        <is>
          <t>replacement_seal</t>
        </is>
      </c>
      <c r="L3" s="13" t="inlineStr">
        <is>
          <t>Data-R签署</t>
        </is>
      </c>
      <c r="M3" s="13" t="inlineStr">
        <is>
          <t>主仓通知</t>
        </is>
      </c>
      <c r="N3" s="13" t="inlineStr">
        <is>
          <t>备注</t>
        </is>
      </c>
      <c r="P3" s="13" t="inlineStr">
        <is>
          <t>步骤</t>
        </is>
      </c>
      <c r="Q3" s="13" t="inlineStr">
        <is>
          <t>触发</t>
        </is>
      </c>
      <c r="R3" s="13" t="inlineStr">
        <is>
          <t>动作</t>
        </is>
      </c>
      <c r="S3" s="13" t="inlineStr">
        <is>
          <t>旧样本去向</t>
        </is>
      </c>
      <c r="T3" s="13" t="inlineStr">
        <is>
          <t>新sealed要求</t>
        </is>
      </c>
      <c r="U3" s="13" t="inlineStr">
        <is>
          <t>禁止</t>
        </is>
      </c>
    </row>
    <row r="4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P4" s="20" t="inlineStr">
        <is>
          <t>1 Audit</t>
        </is>
      </c>
      <c r="Q4" s="20" t="inlineStr">
        <is>
          <t>模板污染/label暴露/leak命中</t>
        </is>
      </c>
      <c r="R4" s="20" t="inlineStr">
        <is>
          <t>冻结旧seal写入revocation_reason</t>
        </is>
      </c>
      <c r="S4" s="20" t="inlineStr">
        <is>
          <t>加入leak registry</t>
        </is>
      </c>
      <c r="T4" s="20" t="inlineStr">
        <is>
          <t>新内容/新template/source_group</t>
        </is>
      </c>
      <c r="U4" s="20" t="inlineStr">
        <is>
          <t>覆盖旧目录</t>
        </is>
      </c>
    </row>
    <row r="5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P5" s="20" t="inlineStr">
        <is>
          <t>2 Revoke</t>
        </is>
      </c>
      <c r="Q5" s="20" t="inlineStr">
        <is>
          <t>确认污染</t>
        </is>
      </c>
      <c r="R5" s="20" t="inlineStr">
        <is>
          <t>status=REVOKED；保留旧hash</t>
        </is>
      </c>
      <c r="S5" s="20" t="inlineStr">
        <is>
          <t>可经G1-G5审计转dev/reg</t>
        </is>
      </c>
      <c r="T5" s="20" t="inlineStr">
        <is>
          <t>不得回到sealed</t>
        </is>
      </c>
      <c r="U5" s="20" t="inlineStr">
        <is>
          <t>删除历史记录</t>
        </is>
      </c>
    </row>
    <row r="6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P6" s="20" t="inlineStr">
        <is>
          <t>3 Register Leak</t>
        </is>
      </c>
      <c r="Q6" s="20" t="inlineStr">
        <is>
          <t>旧sealed已暴露</t>
        </is>
      </c>
      <c r="R6" s="20" t="inlineStr">
        <is>
          <t>登记sample/input/evidence/raw/template fingerprints</t>
        </is>
      </c>
      <c r="S6" s="20" t="inlineStr">
        <is>
          <t>用于未来G5</t>
        </is>
      </c>
      <c r="T6" s="20" t="inlineStr">
        <is>
          <t>0 unresolved leak</t>
        </is>
      </c>
      <c r="U6" s="20" t="inlineStr">
        <is>
          <t>只登记ID不登记内容指纹</t>
        </is>
      </c>
    </row>
    <row r="7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P7" s="20" t="inlineStr">
        <is>
          <t>4 Reseal</t>
        </is>
      </c>
      <c r="Q7" s="20" t="inlineStr">
        <is>
          <t>从Admission PASS池重切</t>
        </is>
      </c>
      <c r="R7" s="20" t="inlineStr">
        <is>
          <t>new seal_generation + parent_seal</t>
        </is>
      </c>
      <c r="S7" s="20" t="inlineStr">
        <is>
          <t>旧暴露样本排除</t>
        </is>
      </c>
      <c r="T7" s="20" t="inlineStr">
        <is>
          <t>新split/hash/read-only</t>
        </is>
      </c>
      <c r="U7" s="20" t="inlineStr">
        <is>
          <t>复用已暴露Gold</t>
        </is>
      </c>
    </row>
    <row r="8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P8" s="20" t="inlineStr">
        <is>
          <t>5 Notify</t>
        </is>
      </c>
      <c r="Q8" s="20" t="inlineStr">
        <is>
          <t>新seal APPROVED</t>
        </is>
      </c>
      <c r="R8" s="20" t="inlineStr">
        <is>
          <t>通知主仓旧代次不可用于正式指标</t>
        </is>
      </c>
      <c r="S8" s="20" t="inlineStr">
        <is>
          <t>主仓保留历史</t>
        </is>
      </c>
      <c r="T8" s="20" t="inlineStr">
        <is>
          <t>compat ACK</t>
        </is>
      </c>
      <c r="U8" s="20" t="inlineStr">
        <is>
          <t>静默换版本</t>
        </is>
      </c>
    </row>
    <row r="9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</row>
    <row r="10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</row>
    <row r="1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</row>
    <row r="13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</row>
    <row r="15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</row>
    <row r="17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</row>
    <row r="19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</row>
    <row r="2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</row>
    <row r="23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</sheetData>
  <mergeCells count="1">
    <mergeCell ref="A1:N1"/>
  </mergeCells>
  <dataValidations count="40">
    <dataValidation sqref="C4" showDropDown="0" showInputMessage="0" showErrorMessage="0" allowBlank="0" type="list">
      <formula1>"ACTIVE,REVOKED,PENDING_REVIEW,ARCHIVED"</formula1>
    </dataValidation>
    <dataValidation sqref="I4:M4" showDropDown="0" showInputMessage="0" showErrorMessage="0" allowBlank="0" type="list">
      <formula1>"是,否,待确认"</formula1>
    </dataValidation>
    <dataValidation sqref="C5" showDropDown="0" showInputMessage="0" showErrorMessage="0" allowBlank="0" type="list">
      <formula1>"ACTIVE,REVOKED,PENDING_REVIEW,ARCHIVED"</formula1>
    </dataValidation>
    <dataValidation sqref="I5:M5" showDropDown="0" showInputMessage="0" showErrorMessage="0" allowBlank="0" type="list">
      <formula1>"是,否,待确认"</formula1>
    </dataValidation>
    <dataValidation sqref="C6" showDropDown="0" showInputMessage="0" showErrorMessage="0" allowBlank="0" type="list">
      <formula1>"ACTIVE,REVOKED,PENDING_REVIEW,ARCHIVED"</formula1>
    </dataValidation>
    <dataValidation sqref="I6:M6" showDropDown="0" showInputMessage="0" showErrorMessage="0" allowBlank="0" type="list">
      <formula1>"是,否,待确认"</formula1>
    </dataValidation>
    <dataValidation sqref="C7" showDropDown="0" showInputMessage="0" showErrorMessage="0" allowBlank="0" type="list">
      <formula1>"ACTIVE,REVOKED,PENDING_REVIEW,ARCHIVED"</formula1>
    </dataValidation>
    <dataValidation sqref="I7:M7" showDropDown="0" showInputMessage="0" showErrorMessage="0" allowBlank="0" type="list">
      <formula1>"是,否,待确认"</formula1>
    </dataValidation>
    <dataValidation sqref="C8" showDropDown="0" showInputMessage="0" showErrorMessage="0" allowBlank="0" type="list">
      <formula1>"ACTIVE,REVOKED,PENDING_REVIEW,ARCHIVED"</formula1>
    </dataValidation>
    <dataValidation sqref="I8:M8" showDropDown="0" showInputMessage="0" showErrorMessage="0" allowBlank="0" type="list">
      <formula1>"是,否,待确认"</formula1>
    </dataValidation>
    <dataValidation sqref="C9" showDropDown="0" showInputMessage="0" showErrorMessage="0" allowBlank="0" type="list">
      <formula1>"ACTIVE,REVOKED,PENDING_REVIEW,ARCHIVED"</formula1>
    </dataValidation>
    <dataValidation sqref="I9:M9" showDropDown="0" showInputMessage="0" showErrorMessage="0" allowBlank="0" type="list">
      <formula1>"是,否,待确认"</formula1>
    </dataValidation>
    <dataValidation sqref="C10" showDropDown="0" showInputMessage="0" showErrorMessage="0" allowBlank="0" type="list">
      <formula1>"ACTIVE,REVOKED,PENDING_REVIEW,ARCHIVED"</formula1>
    </dataValidation>
    <dataValidation sqref="I10:M10" showDropDown="0" showInputMessage="0" showErrorMessage="0" allowBlank="0" type="list">
      <formula1>"是,否,待确认"</formula1>
    </dataValidation>
    <dataValidation sqref="C11" showDropDown="0" showInputMessage="0" showErrorMessage="0" allowBlank="0" type="list">
      <formula1>"ACTIVE,REVOKED,PENDING_REVIEW,ARCHIVED"</formula1>
    </dataValidation>
    <dataValidation sqref="I11:M11" showDropDown="0" showInputMessage="0" showErrorMessage="0" allowBlank="0" type="list">
      <formula1>"是,否,待确认"</formula1>
    </dataValidation>
    <dataValidation sqref="C12" showDropDown="0" showInputMessage="0" showErrorMessage="0" allowBlank="0" type="list">
      <formula1>"ACTIVE,REVOKED,PENDING_REVIEW,ARCHIVED"</formula1>
    </dataValidation>
    <dataValidation sqref="I12:M12" showDropDown="0" showInputMessage="0" showErrorMessage="0" allowBlank="0" type="list">
      <formula1>"是,否,待确认"</formula1>
    </dataValidation>
    <dataValidation sqref="C13" showDropDown="0" showInputMessage="0" showErrorMessage="0" allowBlank="0" type="list">
      <formula1>"ACTIVE,REVOKED,PENDING_REVIEW,ARCHIVED"</formula1>
    </dataValidation>
    <dataValidation sqref="I13:M13" showDropDown="0" showInputMessage="0" showErrorMessage="0" allowBlank="0" type="list">
      <formula1>"是,否,待确认"</formula1>
    </dataValidation>
    <dataValidation sqref="C14" showDropDown="0" showInputMessage="0" showErrorMessage="0" allowBlank="0" type="list">
      <formula1>"ACTIVE,REVOKED,PENDING_REVIEW,ARCHIVED"</formula1>
    </dataValidation>
    <dataValidation sqref="I14:M14" showDropDown="0" showInputMessage="0" showErrorMessage="0" allowBlank="0" type="list">
      <formula1>"是,否,待确认"</formula1>
    </dataValidation>
    <dataValidation sqref="C15" showDropDown="0" showInputMessage="0" showErrorMessage="0" allowBlank="0" type="list">
      <formula1>"ACTIVE,REVOKED,PENDING_REVIEW,ARCHIVED"</formula1>
    </dataValidation>
    <dataValidation sqref="I15:M15" showDropDown="0" showInputMessage="0" showErrorMessage="0" allowBlank="0" type="list">
      <formula1>"是,否,待确认"</formula1>
    </dataValidation>
    <dataValidation sqref="C16" showDropDown="0" showInputMessage="0" showErrorMessage="0" allowBlank="0" type="list">
      <formula1>"ACTIVE,REVOKED,PENDING_REVIEW,ARCHIVED"</formula1>
    </dataValidation>
    <dataValidation sqref="I16:M16" showDropDown="0" showInputMessage="0" showErrorMessage="0" allowBlank="0" type="list">
      <formula1>"是,否,待确认"</formula1>
    </dataValidation>
    <dataValidation sqref="C17" showDropDown="0" showInputMessage="0" showErrorMessage="0" allowBlank="0" type="list">
      <formula1>"ACTIVE,REVOKED,PENDING_REVIEW,ARCHIVED"</formula1>
    </dataValidation>
    <dataValidation sqref="I17:M17" showDropDown="0" showInputMessage="0" showErrorMessage="0" allowBlank="0" type="list">
      <formula1>"是,否,待确认"</formula1>
    </dataValidation>
    <dataValidation sqref="C18" showDropDown="0" showInputMessage="0" showErrorMessage="0" allowBlank="0" type="list">
      <formula1>"ACTIVE,REVOKED,PENDING_REVIEW,ARCHIVED"</formula1>
    </dataValidation>
    <dataValidation sqref="I18:M18" showDropDown="0" showInputMessage="0" showErrorMessage="0" allowBlank="0" type="list">
      <formula1>"是,否,待确认"</formula1>
    </dataValidation>
    <dataValidation sqref="C19" showDropDown="0" showInputMessage="0" showErrorMessage="0" allowBlank="0" type="list">
      <formula1>"ACTIVE,REVOKED,PENDING_REVIEW,ARCHIVED"</formula1>
    </dataValidation>
    <dataValidation sqref="I19:M19" showDropDown="0" showInputMessage="0" showErrorMessage="0" allowBlank="0" type="list">
      <formula1>"是,否,待确认"</formula1>
    </dataValidation>
    <dataValidation sqref="C20" showDropDown="0" showInputMessage="0" showErrorMessage="0" allowBlank="0" type="list">
      <formula1>"ACTIVE,REVOKED,PENDING_REVIEW,ARCHIVED"</formula1>
    </dataValidation>
    <dataValidation sqref="I20:M20" showDropDown="0" showInputMessage="0" showErrorMessage="0" allowBlank="0" type="list">
      <formula1>"是,否,待确认"</formula1>
    </dataValidation>
    <dataValidation sqref="C21" showDropDown="0" showInputMessage="0" showErrorMessage="0" allowBlank="0" type="list">
      <formula1>"ACTIVE,REVOKED,PENDING_REVIEW,ARCHIVED"</formula1>
    </dataValidation>
    <dataValidation sqref="I21:M21" showDropDown="0" showInputMessage="0" showErrorMessage="0" allowBlank="0" type="list">
      <formula1>"是,否,待确认"</formula1>
    </dataValidation>
    <dataValidation sqref="C22" showDropDown="0" showInputMessage="0" showErrorMessage="0" allowBlank="0" type="list">
      <formula1>"ACTIVE,REVOKED,PENDING_REVIEW,ARCHIVED"</formula1>
    </dataValidation>
    <dataValidation sqref="I22:M22" showDropDown="0" showInputMessage="0" showErrorMessage="0" allowBlank="0" type="list">
      <formula1>"是,否,待确认"</formula1>
    </dataValidation>
    <dataValidation sqref="C23" showDropDown="0" showInputMessage="0" showErrorMessage="0" allowBlank="0" type="list">
      <formula1>"ACTIVE,REVOKED,PENDING_REVIEW,ARCHIVED"</formula1>
    </dataValidation>
    <dataValidation sqref="I23:M23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6" customWidth="1" min="3" max="3"/>
    <col width="24" customWidth="1" min="4" max="4"/>
    <col width="28" customWidth="1" min="5" max="5"/>
    <col width="3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</cols>
  <sheetData>
    <row r="1" ht="28" customHeight="1">
      <c r="A1" s="9" t="inlineStr">
        <is>
          <t>Q3闭环｜P2-A Data Factory Tooling Bootstrap（正式5天时钟前）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>
      <c r="A3" s="13" t="inlineStr">
        <is>
          <t>Tool ID</t>
        </is>
      </c>
      <c r="B3" s="13" t="inlineStr">
        <is>
          <t>目标脚本</t>
        </is>
      </c>
      <c r="C3" s="13" t="inlineStr">
        <is>
          <t>功能</t>
        </is>
      </c>
      <c r="D3" s="13" t="inlineStr">
        <is>
          <t>输入</t>
        </is>
      </c>
      <c r="E3" s="13" t="inlineStr">
        <is>
          <t>输出</t>
        </is>
      </c>
      <c r="F3" s="13" t="inlineStr">
        <is>
          <t>必须测试</t>
        </is>
      </c>
      <c r="G3" s="13" t="inlineStr">
        <is>
          <t>幂等</t>
        </is>
      </c>
      <c r="H3" s="13" t="inlineStr">
        <is>
          <t>raw只读</t>
        </is>
      </c>
      <c r="I3" s="13" t="inlineStr">
        <is>
          <t>退出码</t>
        </is>
      </c>
      <c r="J3" s="13" t="inlineStr">
        <is>
          <t>Owner</t>
        </is>
      </c>
      <c r="K3" s="13" t="inlineStr">
        <is>
          <t>存在?</t>
        </is>
      </c>
      <c r="L3" s="13" t="inlineStr">
        <is>
          <t>状态</t>
        </is>
      </c>
      <c r="M3" s="13" t="inlineStr">
        <is>
          <t>最晚</t>
        </is>
      </c>
      <c r="N3" s="13" t="inlineStr">
        <is>
          <t>备注</t>
        </is>
      </c>
    </row>
    <row r="4">
      <c r="A4" s="20" t="inlineStr">
        <is>
          <t>T01</t>
        </is>
      </c>
      <c r="B4" s="20" t="inlineStr">
        <is>
          <t>preflight.py</t>
        </is>
      </c>
      <c r="C4" s="20" t="inlineStr">
        <is>
          <t>环境/接口/版本检查</t>
        </is>
      </c>
      <c r="D4" s="20" t="inlineStr">
        <is>
          <t>workspace</t>
        </is>
      </c>
      <c r="E4" s="20" t="inlineStr">
        <is>
          <t>preflight_report.json</t>
        </is>
      </c>
      <c r="F4" s="20" t="inlineStr">
        <is>
          <t>缺文件/错误状态</t>
        </is>
      </c>
      <c r="G4" s="20" t="inlineStr">
        <is>
          <t>是</t>
        </is>
      </c>
      <c r="H4" s="20" t="inlineStr">
        <is>
          <t>是</t>
        </is>
      </c>
      <c r="I4" s="20" t="inlineStr">
        <is>
          <t>0/2/3</t>
        </is>
      </c>
      <c r="J4" s="20" t="inlineStr">
        <is>
          <t>B</t>
        </is>
      </c>
      <c r="K4" s="20" t="inlineStr">
        <is>
          <t>待确认</t>
        </is>
      </c>
      <c r="L4" s="20" t="inlineStr">
        <is>
          <t>未开始</t>
        </is>
      </c>
      <c r="M4" s="20" t="inlineStr">
        <is>
          <t>Day0</t>
        </is>
      </c>
      <c r="N4" s="20" t="str"/>
    </row>
    <row r="5">
      <c r="A5" s="20" t="inlineStr">
        <is>
          <t>T02</t>
        </is>
      </c>
      <c r="B5" s="20" t="inlineStr">
        <is>
          <t>inventory_legacy.py</t>
        </is>
      </c>
      <c r="C5" s="20" t="inlineStr">
        <is>
          <t>仓库存量盘点+hash</t>
        </is>
      </c>
      <c r="D5" s="20" t="inlineStr">
        <is>
          <t>repo/data paths</t>
        </is>
      </c>
      <c r="E5" s="20" t="inlineStr">
        <is>
          <t>legacy_inventory_v4.json</t>
        </is>
      </c>
      <c r="F5" s="20" t="inlineStr">
        <is>
          <t>重复文件/空文件/多split</t>
        </is>
      </c>
      <c r="G5" s="20" t="inlineStr">
        <is>
          <t>是</t>
        </is>
      </c>
      <c r="H5" s="20" t="inlineStr">
        <is>
          <t>是</t>
        </is>
      </c>
      <c r="I5" s="20" t="inlineStr">
        <is>
          <t>0/2</t>
        </is>
      </c>
      <c r="J5" s="20" t="inlineStr">
        <is>
          <t>B</t>
        </is>
      </c>
      <c r="K5" s="20" t="inlineStr">
        <is>
          <t>待确认</t>
        </is>
      </c>
      <c r="L5" s="20" t="inlineStr">
        <is>
          <t>未开始</t>
        </is>
      </c>
      <c r="M5" s="20" t="inlineStr">
        <is>
          <t>Day0</t>
        </is>
      </c>
      <c r="N5" s="20" t="str"/>
    </row>
    <row r="6">
      <c r="A6" s="20" t="inlineStr">
        <is>
          <t>T03</t>
        </is>
      </c>
      <c r="B6" s="20" t="inlineStr">
        <is>
          <t>provenance_resolver.py</t>
        </is>
      </c>
      <c r="C6" s="20" t="inlineStr">
        <is>
          <t>raw locator/license/source闭环</t>
        </is>
      </c>
      <c r="D6" s="20" t="inlineStr">
        <is>
          <t>candidate</t>
        </is>
      </c>
      <c r="E6" s="20" t="inlineStr">
        <is>
          <t>prov report</t>
        </is>
      </c>
      <c r="F6" s="20" t="inlineStr">
        <is>
          <t>missing locator/license</t>
        </is>
      </c>
      <c r="G6" s="20" t="inlineStr">
        <is>
          <t>是</t>
        </is>
      </c>
      <c r="H6" s="20" t="inlineStr">
        <is>
          <t>是</t>
        </is>
      </c>
      <c r="I6" s="20" t="inlineStr">
        <is>
          <t>0/2</t>
        </is>
      </c>
      <c r="J6" s="20" t="inlineStr">
        <is>
          <t>B</t>
        </is>
      </c>
      <c r="K6" s="20" t="inlineStr">
        <is>
          <t>待确认</t>
        </is>
      </c>
      <c r="L6" s="20" t="inlineStr">
        <is>
          <t>未开始</t>
        </is>
      </c>
      <c r="M6" s="20" t="inlineStr">
        <is>
          <t>Day0</t>
        </is>
      </c>
      <c r="N6" s="20" t="str"/>
    </row>
    <row r="7">
      <c r="A7" s="20" t="inlineStr">
        <is>
          <t>T04</t>
        </is>
      </c>
      <c r="B7" s="20" t="inlineStr">
        <is>
          <t>dedup_scan.py</t>
        </is>
      </c>
      <c r="C7" s="20" t="inlineStr">
        <is>
          <t>exact+near+template/source分布</t>
        </is>
      </c>
      <c r="D7" s="20" t="inlineStr">
        <is>
          <t>candidate</t>
        </is>
      </c>
      <c r="E7" s="20" t="inlineStr">
        <is>
          <t>dedup report</t>
        </is>
      </c>
      <c r="F7" s="20" t="inlineStr">
        <is>
          <t>exact/near threshold</t>
        </is>
      </c>
      <c r="G7" s="20" t="inlineStr">
        <is>
          <t>是</t>
        </is>
      </c>
      <c r="H7" s="20" t="inlineStr">
        <is>
          <t>是</t>
        </is>
      </c>
      <c r="I7" s="20" t="inlineStr">
        <is>
          <t>0/2</t>
        </is>
      </c>
      <c r="J7" s="20" t="inlineStr">
        <is>
          <t>B</t>
        </is>
      </c>
      <c r="K7" s="20" t="inlineStr">
        <is>
          <t>待确认</t>
        </is>
      </c>
      <c r="L7" s="20" t="inlineStr">
        <is>
          <t>未开始</t>
        </is>
      </c>
      <c r="M7" s="20" t="inlineStr">
        <is>
          <t>Day0</t>
        </is>
      </c>
      <c r="N7" s="20" t="str"/>
    </row>
    <row r="8">
      <c r="A8" s="20" t="inlineStr">
        <is>
          <t>T05</t>
        </is>
      </c>
      <c r="B8" s="20" t="inlineStr">
        <is>
          <t>leakage_scan.py</t>
        </is>
      </c>
      <c r="C8" s="20" t="inlineStr">
        <is>
          <t>ID/content/evidence/raw/template fingerprint</t>
        </is>
      </c>
      <c r="D8" s="20" t="inlineStr">
        <is>
          <t>candidate+registry</t>
        </is>
      </c>
      <c r="E8" s="20" t="inlineStr">
        <is>
          <t>leak report</t>
        </is>
      </c>
      <c r="F8" s="20" t="inlineStr">
        <is>
          <t>已知泄漏命中</t>
        </is>
      </c>
      <c r="G8" s="20" t="inlineStr">
        <is>
          <t>是</t>
        </is>
      </c>
      <c r="H8" s="20" t="inlineStr">
        <is>
          <t>是</t>
        </is>
      </c>
      <c r="I8" s="20" t="inlineStr">
        <is>
          <t>0/2</t>
        </is>
      </c>
      <c r="J8" s="20" t="inlineStr">
        <is>
          <t>B</t>
        </is>
      </c>
      <c r="K8" s="20" t="inlineStr">
        <is>
          <t>待确认</t>
        </is>
      </c>
      <c r="L8" s="20" t="inlineStr">
        <is>
          <t>未开始</t>
        </is>
      </c>
      <c r="M8" s="20" t="inlineStr">
        <is>
          <t>Day0</t>
        </is>
      </c>
      <c r="N8" s="20" t="str"/>
    </row>
    <row r="9">
      <c r="A9" s="20" t="inlineStr">
        <is>
          <t>T06</t>
        </is>
      </c>
      <c r="B9" s="20" t="inlineStr">
        <is>
          <t>admission_gate.py</t>
        </is>
      </c>
      <c r="C9" s="20" t="inlineStr">
        <is>
          <t>汇总G1-G5并fail-closed</t>
        </is>
      </c>
      <c r="D9" s="20" t="inlineStr">
        <is>
          <t>candidate+reports</t>
        </is>
      </c>
      <c r="E9" s="20" t="inlineStr">
        <is>
          <t>admission_result.csv</t>
        </is>
      </c>
      <c r="F9" s="20" t="inlineStr">
        <is>
          <t>任一FAIL阻断</t>
        </is>
      </c>
      <c r="G9" s="20" t="inlineStr">
        <is>
          <t>是</t>
        </is>
      </c>
      <c r="H9" s="20" t="inlineStr">
        <is>
          <t>是</t>
        </is>
      </c>
      <c r="I9" s="20" t="inlineStr">
        <is>
          <t>0/2</t>
        </is>
      </c>
      <c r="J9" s="20" t="inlineStr">
        <is>
          <t>B/R</t>
        </is>
      </c>
      <c r="K9" s="20" t="inlineStr">
        <is>
          <t>待确认</t>
        </is>
      </c>
      <c r="L9" s="20" t="inlineStr">
        <is>
          <t>未开始</t>
        </is>
      </c>
      <c r="M9" s="20" t="inlineStr">
        <is>
          <t>Day0</t>
        </is>
      </c>
      <c r="N9" s="20" t="str"/>
    </row>
    <row r="10">
      <c r="A10" s="20" t="inlineStr">
        <is>
          <t>T07</t>
        </is>
      </c>
      <c r="B10" s="20" t="inlineStr">
        <is>
          <t>build_blind_packets.py</t>
        </is>
      </c>
      <c r="C10" s="20" t="inlineStr">
        <is>
          <t>剥离答案+双随机包</t>
        </is>
      </c>
      <c r="D10" s="20" t="inlineStr">
        <is>
          <t>Admission PASS</t>
        </is>
      </c>
      <c r="E10" s="20" t="inlineStr">
        <is>
          <t>context_A/B + manifest</t>
        </is>
      </c>
      <c r="F10" s="20" t="inlineStr">
        <is>
          <t>泄漏检查/hash</t>
        </is>
      </c>
      <c r="G10" s="20" t="inlineStr">
        <is>
          <t>是</t>
        </is>
      </c>
      <c r="H10" s="20" t="inlineStr">
        <is>
          <t>是</t>
        </is>
      </c>
      <c r="I10" s="20" t="inlineStr">
        <is>
          <t>0/2</t>
        </is>
      </c>
      <c r="J10" s="20" t="inlineStr">
        <is>
          <t>B/R</t>
        </is>
      </c>
      <c r="K10" s="20" t="inlineStr">
        <is>
          <t>待确认</t>
        </is>
      </c>
      <c r="L10" s="20" t="inlineStr">
        <is>
          <t>未开始</t>
        </is>
      </c>
      <c r="M10" s="20" t="inlineStr">
        <is>
          <t>Day0</t>
        </is>
      </c>
      <c r="N10" s="20" t="str"/>
    </row>
    <row r="11">
      <c r="A11" s="20" t="inlineStr">
        <is>
          <t>T08</t>
        </is>
      </c>
      <c r="B11" s="20" t="inlineStr">
        <is>
          <t>validate_labels.py</t>
        </is>
      </c>
      <c r="C11" s="20" t="inlineStr">
        <is>
          <t>结构/枚举/required校验</t>
        </is>
      </c>
      <c r="D11" s="20" t="inlineStr">
        <is>
          <t>A或B label</t>
        </is>
      </c>
      <c r="E11" s="20" t="inlineStr">
        <is>
          <t>label_validation</t>
        </is>
      </c>
      <c r="F11" s="20" t="inlineStr">
        <is>
          <t>缺字段/非法枚举</t>
        </is>
      </c>
      <c r="G11" s="20" t="inlineStr">
        <is>
          <t>是</t>
        </is>
      </c>
      <c r="H11" s="20" t="inlineStr">
        <is>
          <t>是</t>
        </is>
      </c>
      <c r="I11" s="20" t="inlineStr">
        <is>
          <t>0/2</t>
        </is>
      </c>
      <c r="J11" s="20" t="inlineStr">
        <is>
          <t>B</t>
        </is>
      </c>
      <c r="K11" s="20" t="inlineStr">
        <is>
          <t>待确认</t>
        </is>
      </c>
      <c r="L11" s="20" t="inlineStr">
        <is>
          <t>未开始</t>
        </is>
      </c>
      <c r="M11" s="20" t="inlineStr">
        <is>
          <t>D1前</t>
        </is>
      </c>
      <c r="N11" s="20" t="str"/>
    </row>
    <row r="12">
      <c r="A12" s="20" t="inlineStr">
        <is>
          <t>T09</t>
        </is>
      </c>
      <c r="B12" s="20" t="inlineStr">
        <is>
          <t>disagreement_report.py</t>
        </is>
      </c>
      <c r="C12" s="20" t="inlineStr">
        <is>
          <t>只聚类差异不写final</t>
        </is>
      </c>
      <c r="D12" s="20" t="inlineStr">
        <is>
          <t>A+B labels</t>
        </is>
      </c>
      <c r="E12" s="20" t="inlineStr">
        <is>
          <t>reviewer_queue.csv</t>
        </is>
      </c>
      <c r="F12" s="20" t="inlineStr">
        <is>
          <t>同类&gt;=3 alert</t>
        </is>
      </c>
      <c r="G12" s="20" t="inlineStr">
        <is>
          <t>是</t>
        </is>
      </c>
      <c r="H12" s="20" t="inlineStr">
        <is>
          <t>是</t>
        </is>
      </c>
      <c r="I12" s="20" t="inlineStr">
        <is>
          <t>0/2</t>
        </is>
      </c>
      <c r="J12" s="20" t="inlineStr">
        <is>
          <t>B/R</t>
        </is>
      </c>
      <c r="K12" s="20" t="inlineStr">
        <is>
          <t>待确认</t>
        </is>
      </c>
      <c r="L12" s="20" t="inlineStr">
        <is>
          <t>未开始</t>
        </is>
      </c>
      <c r="M12" s="20" t="inlineStr">
        <is>
          <t>D1前</t>
        </is>
      </c>
      <c r="N12" s="20" t="str"/>
    </row>
    <row r="13">
      <c r="A13" s="20" t="inlineStr">
        <is>
          <t>T10</t>
        </is>
      </c>
      <c r="B13" s="20" t="inlineStr">
        <is>
          <t>runtime_import.py</t>
        </is>
      </c>
      <c r="C13" s="20" t="inlineStr">
        <is>
          <t>真实trace→Tool/E2E证据</t>
        </is>
      </c>
      <c r="D13" s="20" t="inlineStr">
        <is>
          <t>runtime logs</t>
        </is>
      </c>
      <c r="E13" s="20" t="inlineStr">
        <is>
          <t>runtime_parse.json</t>
        </is>
      </c>
      <c r="F13" s="20" t="inlineStr">
        <is>
          <t>缺trace/side-effect</t>
        </is>
      </c>
      <c r="G13" s="20" t="inlineStr">
        <is>
          <t>是</t>
        </is>
      </c>
      <c r="H13" s="20" t="inlineStr">
        <is>
          <t>是</t>
        </is>
      </c>
      <c r="I13" s="20" t="inlineStr">
        <is>
          <t>0/2</t>
        </is>
      </c>
      <c r="J13" s="20" t="inlineStr">
        <is>
          <t>B</t>
        </is>
      </c>
      <c r="K13" s="20" t="inlineStr">
        <is>
          <t>待确认</t>
        </is>
      </c>
      <c r="L13" s="20" t="inlineStr">
        <is>
          <t>未开始</t>
        </is>
      </c>
      <c r="M13" s="20" t="inlineStr">
        <is>
          <t>D3前</t>
        </is>
      </c>
      <c r="N13" s="20" t="str"/>
    </row>
    <row r="14">
      <c r="A14" s="20" t="inlineStr">
        <is>
          <t>T11</t>
        </is>
      </c>
      <c r="B14" s="20" t="inlineStr">
        <is>
          <t>split_grouped.py</t>
        </is>
      </c>
      <c r="C14" s="20" t="inlineStr">
        <is>
          <t>group 50/20/30</t>
        </is>
      </c>
      <c r="D14" s="20" t="inlineStr">
        <is>
          <t>final Gold</t>
        </is>
      </c>
      <c r="E14" s="20" t="inlineStr">
        <is>
          <t>split manifest</t>
        </is>
      </c>
      <c r="F14" s="20" t="inlineStr">
        <is>
          <t>group跨split=0</t>
        </is>
      </c>
      <c r="G14" s="20" t="inlineStr">
        <is>
          <t>是</t>
        </is>
      </c>
      <c r="H14" s="20" t="inlineStr">
        <is>
          <t>是</t>
        </is>
      </c>
      <c r="I14" s="20" t="inlineStr">
        <is>
          <t>0/2</t>
        </is>
      </c>
      <c r="J14" s="20" t="inlineStr">
        <is>
          <t>B/R</t>
        </is>
      </c>
      <c r="K14" s="20" t="inlineStr">
        <is>
          <t>待确认</t>
        </is>
      </c>
      <c r="L14" s="20" t="inlineStr">
        <is>
          <t>未开始</t>
        </is>
      </c>
      <c r="M14" s="20" t="inlineStr">
        <is>
          <t>D4前</t>
        </is>
      </c>
      <c r="N14" s="20" t="str"/>
    </row>
    <row r="15">
      <c r="A15" s="20" t="inlineStr">
        <is>
          <t>T12</t>
        </is>
      </c>
      <c r="B15" s="20" t="inlineStr">
        <is>
          <t>seal_release.py</t>
        </is>
      </c>
      <c r="C15" s="20" t="inlineStr">
        <is>
          <t>hash/read-only/manifest/revoke</t>
        </is>
      </c>
      <c r="D15" s="20" t="inlineStr">
        <is>
          <t>approved final</t>
        </is>
      </c>
      <c r="E15" s="20" t="inlineStr">
        <is>
          <t>release artifacts</t>
        </is>
      </c>
      <c r="F15" s="20" t="inlineStr">
        <is>
          <t>hash/reseal</t>
        </is>
      </c>
      <c r="G15" s="20" t="inlineStr">
        <is>
          <t>是</t>
        </is>
      </c>
      <c r="H15" s="20" t="inlineStr">
        <is>
          <t>是</t>
        </is>
      </c>
      <c r="I15" s="20" t="inlineStr">
        <is>
          <t>0/2</t>
        </is>
      </c>
      <c r="J15" s="20" t="inlineStr">
        <is>
          <t>B/R</t>
        </is>
      </c>
      <c r="K15" s="20" t="inlineStr">
        <is>
          <t>待确认</t>
        </is>
      </c>
      <c r="L15" s="20" t="inlineStr">
        <is>
          <t>未开始</t>
        </is>
      </c>
      <c r="M15" s="20" t="inlineStr">
        <is>
          <t>D5前</t>
        </is>
      </c>
      <c r="N15" s="20" t="str"/>
    </row>
  </sheetData>
  <mergeCells count="1">
    <mergeCell ref="A1:N1"/>
  </mergeCells>
  <dataValidations count="2">
    <dataValidation sqref="K4:K15" showDropDown="0" showInputMessage="0" showErrorMessage="0" allowBlank="0" type="list">
      <formula1>"是,否,待确认"</formula1>
    </dataValidation>
    <dataValidation sqref="L4:L15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19" customWidth="1" min="4" max="4"/>
    <col width="18" customWidth="1" min="5" max="5"/>
    <col width="20" customWidth="1" min="6" max="6"/>
    <col width="15" customWidth="1" min="7" max="7"/>
    <col width="18" customWidth="1" min="8" max="8"/>
    <col width="36" customWidth="1" min="9" max="9"/>
    <col width="19" customWidth="1" min="10" max="10"/>
    <col width="18" customWidth="1" min="11" max="11"/>
    <col width="30" customWidth="1" min="12" max="12"/>
    <col width="26" customWidth="1" min="13" max="13"/>
  </cols>
  <sheetData>
    <row r="1" ht="28" customHeight="1">
      <c r="A1" s="9" t="inlineStr">
        <is>
          <t>Q6闭环｜PR31现有40条默认HISTORY_ONLY，新v4.1重新抽40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13" t="inlineStr">
        <is>
          <t>Set</t>
        </is>
      </c>
      <c r="B3" s="13" t="inlineStr">
        <is>
          <t>来源/路径</t>
        </is>
      </c>
      <c r="C3" s="13" t="inlineStr">
        <is>
          <t>样本数</t>
        </is>
      </c>
      <c r="D3" s="13" t="inlineStr">
        <is>
          <t>Gold/标签是否暴露</t>
        </is>
      </c>
      <c r="E3" s="13" t="inlineStr">
        <is>
          <t>Context符合v4.1?</t>
        </is>
      </c>
      <c r="F3" s="13" t="inlineStr">
        <is>
          <t>A/B真双盲可证明?</t>
        </is>
      </c>
      <c r="G3" s="13" t="inlineStr">
        <is>
          <t>Schema一致?</t>
        </is>
      </c>
      <c r="H3" s="13" t="inlineStr">
        <is>
          <t>Leak registry命中?</t>
        </is>
      </c>
      <c r="I3" s="13" t="inlineStr">
        <is>
          <t>允许用途</t>
        </is>
      </c>
      <c r="J3" s="13" t="inlineStr">
        <is>
          <t>是否进入新Calibration</t>
        </is>
      </c>
      <c r="K3" s="13" t="inlineStr">
        <is>
          <t>Data-R结论</t>
        </is>
      </c>
      <c r="L3" s="13" t="inlineStr">
        <is>
          <t>证据</t>
        </is>
      </c>
      <c r="M3" s="13" t="inlineStr">
        <is>
          <t>备注</t>
        </is>
      </c>
    </row>
    <row r="4">
      <c r="A4" s="20" t="inlineStr">
        <is>
          <t>PR31_trial_v3</t>
        </is>
      </c>
      <c r="B4" s="20" t="inlineStr">
        <is>
          <t>PR31现有trial/context/labels</t>
        </is>
      </c>
      <c r="C4" s="20" t="inlineStr">
        <is>
          <t>40</t>
        </is>
      </c>
      <c r="D4" s="20" t="inlineStr">
        <is>
          <t>待确认</t>
        </is>
      </c>
      <c r="E4" s="20" t="inlineStr">
        <is>
          <t>待确认</t>
        </is>
      </c>
      <c r="F4" s="20" t="inlineStr">
        <is>
          <t>待确认</t>
        </is>
      </c>
      <c r="G4" s="20" t="inlineStr">
        <is>
          <t>待确认</t>
        </is>
      </c>
      <c r="H4" s="20" t="inlineStr">
        <is>
          <t>待确认</t>
        </is>
      </c>
      <c r="I4" s="20" t="inlineStr">
        <is>
          <t>HISTORY_ONLY / guideline regression</t>
        </is>
      </c>
      <c r="J4" s="20" t="inlineStr">
        <is>
          <t>否</t>
        </is>
      </c>
      <c r="K4" s="20" t="inlineStr">
        <is>
          <t>HISTORY_ONLY</t>
        </is>
      </c>
      <c r="L4" s="20" t="str"/>
      <c r="M4" s="20" t="inlineStr">
        <is>
          <t>默认不复用</t>
        </is>
      </c>
    </row>
    <row r="5">
      <c r="A5" s="20" t="inlineStr">
        <is>
          <t>v4.1_calib_fresh</t>
        </is>
      </c>
      <c r="B5" s="20" t="inlineStr">
        <is>
          <t>从Admission PASS中重新抽取</t>
        </is>
      </c>
      <c r="C5" s="20" t="inlineStr">
        <is>
          <t>40</t>
        </is>
      </c>
      <c r="D5" s="20" t="inlineStr">
        <is>
          <t>否</t>
        </is>
      </c>
      <c r="E5" s="20" t="inlineStr">
        <is>
          <t>是</t>
        </is>
      </c>
      <c r="F5" s="20" t="inlineStr">
        <is>
          <t>是</t>
        </is>
      </c>
      <c r="G5" s="20" t="inlineStr">
        <is>
          <t>是</t>
        </is>
      </c>
      <c r="H5" s="20" t="inlineStr">
        <is>
          <t>否</t>
        </is>
      </c>
      <c r="I5" s="20" t="inlineStr">
        <is>
          <t>正式Calibration</t>
        </is>
      </c>
      <c r="J5" s="20" t="inlineStr">
        <is>
          <t>是</t>
        </is>
      </c>
      <c r="K5" s="20" t="inlineStr">
        <is>
          <t>PENDING</t>
        </is>
      </c>
      <c r="L5" s="20" t="str"/>
      <c r="M5" s="20" t="str"/>
    </row>
    <row r="6">
      <c r="A6" s="20" t="inlineStr">
        <is>
          <t>例外迁移</t>
        </is>
      </c>
      <c r="B6" s="20" t="inlineStr">
        <is>
          <t>仅当能严格证明从未暴露答案/标签</t>
        </is>
      </c>
      <c r="C6" s="20" t="inlineStr">
        <is>
          <t>&lt;=40</t>
        </is>
      </c>
      <c r="D6" s="20" t="inlineStr">
        <is>
          <t>否</t>
        </is>
      </c>
      <c r="E6" s="20" t="inlineStr">
        <is>
          <t>是</t>
        </is>
      </c>
      <c r="F6" s="20" t="inlineStr">
        <is>
          <t>是</t>
        </is>
      </c>
      <c r="G6" s="20" t="inlineStr">
        <is>
          <t>是</t>
        </is>
      </c>
      <c r="H6" s="20" t="inlineStr">
        <is>
          <t>否</t>
        </is>
      </c>
      <c r="I6" s="20" t="inlineStr">
        <is>
          <t>可作为fresh替代的一部分</t>
        </is>
      </c>
      <c r="J6" s="20" t="inlineStr">
        <is>
          <t>待Reviewer</t>
        </is>
      </c>
      <c r="K6" s="20" t="inlineStr">
        <is>
          <t>PENDING</t>
        </is>
      </c>
      <c r="L6" s="20" t="str"/>
      <c r="M6" s="20" t="inlineStr">
        <is>
          <t>不建议默认走</t>
        </is>
      </c>
    </row>
    <row r="7">
      <c r="A7" s="20" t="inlineStr">
        <is>
          <t>历史用途</t>
        </is>
      </c>
      <c r="B7" s="20" t="inlineStr">
        <is>
          <t>PR31 40可用于规则缺陷复现、工具回归、文档比较</t>
        </is>
      </c>
      <c r="C7" s="20" t="inlineStr">
        <is>
          <t>40</t>
        </is>
      </c>
      <c r="D7" s="20" t="inlineStr">
        <is>
          <t>不影响</t>
        </is>
      </c>
      <c r="E7" s="20" t="inlineStr">
        <is>
          <t>—</t>
        </is>
      </c>
      <c r="F7" s="20" t="inlineStr">
        <is>
          <t>—</t>
        </is>
      </c>
      <c r="G7" s="20" t="inlineStr">
        <is>
          <t>—</t>
        </is>
      </c>
      <c r="H7" s="20" t="inlineStr">
        <is>
          <t>—</t>
        </is>
      </c>
      <c r="I7" s="20" t="inlineStr">
        <is>
          <t>非正式blind</t>
        </is>
      </c>
      <c r="J7" s="20" t="inlineStr">
        <is>
          <t>否</t>
        </is>
      </c>
      <c r="K7" s="20" t="inlineStr">
        <is>
          <t>HISTORY_ONLY</t>
        </is>
      </c>
      <c r="L7" s="20" t="str"/>
      <c r="M7" s="20" t="str"/>
    </row>
  </sheetData>
  <mergeCells count="1">
    <mergeCell ref="A1:M1"/>
  </mergeCells>
  <dataValidations count="6">
    <dataValidation sqref="D4:D7" showDropDown="0" showInputMessage="0" showErrorMessage="0" allowBlank="0" type="list">
      <formula1>"是,否,待确认"</formula1>
    </dataValidation>
    <dataValidation sqref="E4:E7" showDropDown="0" showInputMessage="0" showErrorMessage="0" allowBlank="0" type="list">
      <formula1>"是,否,待确认"</formula1>
    </dataValidation>
    <dataValidation sqref="F4:F7" showDropDown="0" showInputMessage="0" showErrorMessage="0" allowBlank="0" type="list">
      <formula1>"是,否,待确认"</formula1>
    </dataValidation>
    <dataValidation sqref="G4:G7" showDropDown="0" showInputMessage="0" showErrorMessage="0" allowBlank="0" type="list">
      <formula1>"是,否,待确认"</formula1>
    </dataValidation>
    <dataValidation sqref="H4:H7" showDropDown="0" showInputMessage="0" showErrorMessage="0" allowBlank="0" type="list">
      <formula1>"是,否,待确认"</formula1>
    </dataValidation>
    <dataValidation sqref="J4:J7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5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4" customWidth="1" min="10" max="10"/>
    <col width="12" customWidth="1" min="11" max="11"/>
    <col width="24" customWidth="1" min="12" max="12"/>
  </cols>
  <sheetData>
    <row r="1" ht="28" customHeight="1">
      <c r="A1" s="9" t="inlineStr">
        <is>
          <t>Q8闭环｜A/B/R三个人工独立：AI永远不能补成人数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13" t="inlineStr">
        <is>
          <t>角色</t>
        </is>
      </c>
      <c r="B3" s="13" t="inlineStr">
        <is>
          <t>人工成员ID/姓名</t>
        </is>
      </c>
      <c r="C3" s="13" t="inlineStr">
        <is>
          <t>Git/账号</t>
        </is>
      </c>
      <c r="D3" s="13" t="inlineStr">
        <is>
          <t>可看A标签</t>
        </is>
      </c>
      <c r="E3" s="13" t="inlineStr">
        <is>
          <t>可看B标签</t>
        </is>
      </c>
      <c r="F3" s="13" t="inlineStr">
        <is>
          <t>可写final_label</t>
        </is>
      </c>
      <c r="G3" s="13" t="inlineStr">
        <is>
          <t>可看sealed答案</t>
        </is>
      </c>
      <c r="H3" s="13" t="inlineStr">
        <is>
          <t>AI可否替代</t>
        </is>
      </c>
      <c r="I3" s="13" t="inlineStr">
        <is>
          <t>签署时间</t>
        </is>
      </c>
      <c r="J3" s="13" t="inlineStr">
        <is>
          <t>冲突检查</t>
        </is>
      </c>
      <c r="K3" s="13" t="inlineStr">
        <is>
          <t>状态</t>
        </is>
      </c>
      <c r="L3" s="13" t="inlineStr">
        <is>
          <t>备注</t>
        </is>
      </c>
    </row>
    <row r="4">
      <c r="A4" t="inlineStr">
        <is>
          <t>Data-A</t>
        </is>
      </c>
      <c r="D4" t="inlineStr">
        <is>
          <t>是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J4" t="inlineStr">
        <is>
          <t>PENDING</t>
        </is>
      </c>
      <c r="K4" t="inlineStr">
        <is>
          <t>未开始</t>
        </is>
      </c>
      <c r="L4" t="inlineStr">
        <is>
          <t>Annotator A</t>
        </is>
      </c>
    </row>
    <row r="5">
      <c r="A5" t="inlineStr">
        <is>
          <t>Data-B</t>
        </is>
      </c>
      <c r="D5" t="inlineStr">
        <is>
          <t>否</t>
        </is>
      </c>
      <c r="E5" t="inlineStr">
        <is>
          <t>是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J5" t="inlineStr">
        <is>
          <t>PENDING</t>
        </is>
      </c>
      <c r="K5" t="inlineStr">
        <is>
          <t>未开始</t>
        </is>
      </c>
      <c r="L5" t="inlineStr">
        <is>
          <t>Annotator B</t>
        </is>
      </c>
    </row>
    <row r="6">
      <c r="A6" t="inlineStr">
        <is>
          <t>Data-R</t>
        </is>
      </c>
      <c r="D6" t="inlineStr">
        <is>
          <t>提交后可看</t>
        </is>
      </c>
      <c r="E6" t="inlineStr">
        <is>
          <t>提交后可看</t>
        </is>
      </c>
      <c r="F6" t="inlineStr">
        <is>
          <t>是</t>
        </is>
      </c>
      <c r="G6" t="inlineStr">
        <is>
          <t>是</t>
        </is>
      </c>
      <c r="H6" t="inlineStr">
        <is>
          <t>否</t>
        </is>
      </c>
      <c r="J6" t="inlineStr">
        <is>
          <t>PENDING</t>
        </is>
      </c>
      <c r="K6" t="inlineStr">
        <is>
          <t>未开始</t>
        </is>
      </c>
      <c r="L6" t="inlineStr">
        <is>
          <t>Reviewer</t>
        </is>
      </c>
    </row>
    <row r="9">
      <c r="A9" s="13" t="inlineStr">
        <is>
          <t>违规场景</t>
        </is>
      </c>
      <c r="B9" s="13" t="inlineStr">
        <is>
          <t>正式双盲结果</t>
        </is>
      </c>
      <c r="C9" s="13" t="inlineStr">
        <is>
          <t>允许标记</t>
        </is>
      </c>
      <c r="D9" s="13" t="inlineStr">
        <is>
          <t>能否计正式Gold</t>
        </is>
      </c>
      <c r="E9" s="13" t="inlineStr">
        <is>
          <t>恢复方法</t>
        </is>
      </c>
      <c r="F9" s="13" t="inlineStr">
        <is>
          <t>备注</t>
        </is>
      </c>
    </row>
    <row r="10">
      <c r="A10" s="20" t="inlineStr">
        <is>
          <t>同一人工兼任A+B</t>
        </is>
      </c>
      <c r="B10" s="20" t="inlineStr">
        <is>
          <t>FAIL</t>
        </is>
      </c>
      <c r="C10" s="20" t="inlineStr">
        <is>
          <t>SINGLE_REVIEW</t>
        </is>
      </c>
      <c r="D10" s="20" t="inlineStr">
        <is>
          <t>否</t>
        </is>
      </c>
      <c r="E10" s="20" t="inlineStr">
        <is>
          <t>另找第二人工独立重标</t>
        </is>
      </c>
      <c r="F10" s="20" t="inlineStr">
        <is>
          <t>无Reviewer豁免</t>
        </is>
      </c>
    </row>
    <row r="11">
      <c r="A11" s="20" t="inlineStr">
        <is>
          <t>AI作为B、人工作为A</t>
        </is>
      </c>
      <c r="B11" s="20" t="inlineStr">
        <is>
          <t>FAIL</t>
        </is>
      </c>
      <c r="C11" s="20" t="inlineStr">
        <is>
          <t>AI_ASSISTED_SINGLE_REVIEW</t>
        </is>
      </c>
      <c r="D11" s="20" t="inlineStr">
        <is>
          <t>否</t>
        </is>
      </c>
      <c r="E11" s="20" t="inlineStr">
        <is>
          <t>第二人工独立重标</t>
        </is>
      </c>
      <c r="F11" s="20" t="inlineStr">
        <is>
          <t>AI不能补人数</t>
        </is>
      </c>
    </row>
    <row r="12">
      <c r="A12" s="20" t="inlineStr">
        <is>
          <t>Reviewer提前给A/B答案</t>
        </is>
      </c>
      <c r="B12" s="20" t="inlineStr">
        <is>
          <t>FAIL</t>
        </is>
      </c>
      <c r="C12" s="20" t="inlineStr">
        <is>
          <t>CONTAMINATED</t>
        </is>
      </c>
      <c r="D12" s="20" t="inlineStr">
        <is>
          <t>否</t>
        </is>
      </c>
      <c r="E12" s="20" t="inlineStr">
        <is>
          <t>换未暴露样本重新blind</t>
        </is>
      </c>
      <c r="F12" s="20" t="inlineStr">
        <is>
          <t>样本进leak registry</t>
        </is>
      </c>
    </row>
    <row r="13">
      <c r="A13" s="20" t="inlineStr">
        <is>
          <t>A/B互看标签后修改</t>
        </is>
      </c>
      <c r="B13" s="20" t="inlineStr">
        <is>
          <t>FAIL</t>
        </is>
      </c>
      <c r="C13" s="20" t="inlineStr">
        <is>
          <t>CONTAMINATED</t>
        </is>
      </c>
      <c r="D13" s="20" t="inlineStr">
        <is>
          <t>否</t>
        </is>
      </c>
      <c r="E13" s="20" t="inlineStr">
        <is>
          <t>重新抽/重标</t>
        </is>
      </c>
      <c r="F13" s="20" t="inlineStr">
        <is>
          <t>保留污染证据</t>
        </is>
      </c>
    </row>
    <row r="14">
      <c r="A14" s="20" t="inlineStr">
        <is>
          <t>A/B同一人但不同AI会话</t>
        </is>
      </c>
      <c r="B14" s="20" t="inlineStr">
        <is>
          <t>FAIL</t>
        </is>
      </c>
      <c r="C14" s="20" t="inlineStr">
        <is>
          <t>SINGLE_REVIEW</t>
        </is>
      </c>
      <c r="D14" s="20" t="inlineStr">
        <is>
          <t>否</t>
        </is>
      </c>
      <c r="E14" s="20" t="inlineStr">
        <is>
          <t>第二人工</t>
        </is>
      </c>
      <c r="F14" s="20" t="inlineStr">
        <is>
          <t>独立会话≠独立人工</t>
        </is>
      </c>
    </row>
    <row r="15">
      <c r="A15" s="20" t="inlineStr">
        <is>
          <t>三人独立并按blind权限执行</t>
        </is>
      </c>
      <c r="B15" s="20" t="inlineStr">
        <is>
          <t>PASS</t>
        </is>
      </c>
      <c r="C15" s="20" t="inlineStr">
        <is>
          <t>FORMAL_DOUBLE_BLIND</t>
        </is>
      </c>
      <c r="D15" s="20" t="inlineStr">
        <is>
          <t>是</t>
        </is>
      </c>
      <c r="E15" s="20" t="inlineStr">
        <is>
          <t>—</t>
        </is>
      </c>
      <c r="F15" s="20" t="inlineStr">
        <is>
          <t>目标状态</t>
        </is>
      </c>
    </row>
  </sheetData>
  <mergeCells count="1">
    <mergeCell ref="A1:L1"/>
  </mergeCells>
  <dataValidations count="3">
    <dataValidation sqref="H4:H6" showDropDown="0" showInputMessage="0" showErrorMessage="0" allowBlank="0" type="list">
      <formula1>"否"</formula1>
    </dataValidation>
    <dataValidation sqref="J4:J6" showDropDown="0" showInputMessage="0" showErrorMessage="0" allowBlank="0" type="list">
      <formula1>"PASS,FAIL,PENDING"</formula1>
    </dataValidation>
    <dataValidation sqref="K4:K6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2" customWidth="1" min="3" max="3"/>
    <col width="15" customWidth="1" min="4" max="4"/>
    <col width="18" customWidth="1" min="5" max="5"/>
    <col width="14" customWidth="1" min="6" max="6"/>
    <col width="12" customWidth="1" min="7" max="7"/>
    <col width="28" customWidth="1" min="8" max="8"/>
    <col width="36" customWidth="1" min="9" max="9"/>
    <col width="26" customWidth="1" min="10" max="10"/>
    <col width="14" customWidth="1" min="11" max="11"/>
    <col width="30" customWidth="1" min="12" max="12"/>
    <col width="24" customWidth="1" min="13" max="13"/>
  </cols>
  <sheetData>
    <row r="1" ht="28" customHeight="1">
      <c r="A1" s="9" t="inlineStr">
        <is>
          <t>Q4/Q5闭环｜Main Dependency Gate：主仓未冻结就显式BLOCKED，不伪造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13" t="inlineStr">
        <is>
          <t>Gate</t>
        </is>
      </c>
      <c r="B3" s="13" t="inlineStr">
        <is>
          <t>依赖包</t>
        </is>
      </c>
      <c r="C3" s="13" t="inlineStr">
        <is>
          <t>最低PASS</t>
        </is>
      </c>
      <c r="D3" s="13" t="inlineStr">
        <is>
          <t>最晚</t>
        </is>
      </c>
      <c r="E3" s="13" t="inlineStr">
        <is>
          <t>Main Owner</t>
        </is>
      </c>
      <c r="F3" s="13" t="inlineStr">
        <is>
          <t>Data Owner</t>
        </is>
      </c>
      <c r="G3" s="13" t="inlineStr">
        <is>
          <t>状态</t>
        </is>
      </c>
      <c r="H3" s="13" t="inlineStr">
        <is>
          <t>阻塞对象</t>
        </is>
      </c>
      <c r="I3" s="13" t="inlineStr">
        <is>
          <t>安全并行工作</t>
        </is>
      </c>
      <c r="J3" s="13" t="inlineStr">
        <is>
          <t>AI返回码</t>
        </is>
      </c>
      <c r="K3" s="13" t="inlineStr">
        <is>
          <t>人工签署</t>
        </is>
      </c>
      <c r="L3" s="13" t="inlineStr">
        <is>
          <t>证据</t>
        </is>
      </c>
      <c r="M3" s="13" t="inlineStr">
        <is>
          <t>备注</t>
        </is>
      </c>
    </row>
    <row r="4">
      <c r="A4" s="20" t="inlineStr">
        <is>
          <t>M1</t>
        </is>
      </c>
      <c r="B4" s="20" t="inlineStr">
        <is>
          <t>SchemaSnapshot</t>
        </is>
      </c>
      <c r="C4" s="20" t="inlineStr">
        <is>
          <t>Canonical status=FROZEN；enum/scope/aliases/unknown policy；main_commit</t>
        </is>
      </c>
      <c r="D4" s="20" t="inlineStr">
        <is>
          <t>D1 10:30</t>
        </is>
      </c>
      <c r="E4" s="20" t="inlineStr">
        <is>
          <t>Main-E/Liaison</t>
        </is>
      </c>
      <c r="F4" s="20" t="inlineStr">
        <is>
          <t>R</t>
        </is>
      </c>
      <c r="G4" s="20" t="inlineStr">
        <is>
          <t>PENDING</t>
        </is>
      </c>
      <c r="H4" s="20" t="inlineStr">
        <is>
          <t>正式Gold语义转换</t>
        </is>
      </c>
      <c r="I4" s="20" t="inlineStr">
        <is>
          <t>Inventory/Prov/Candidate草案</t>
        </is>
      </c>
      <c r="J4" s="20" t="inlineStr">
        <is>
          <t>BLOCKED_MAIN_CONTRACT</t>
        </is>
      </c>
      <c r="K4" s="20" t="inlineStr">
        <is>
          <t>待确认</t>
        </is>
      </c>
      <c r="L4" s="20" t="str"/>
      <c r="M4" s="20" t="str"/>
    </row>
    <row r="5">
      <c r="A5" s="20" t="inlineStr">
        <is>
          <t>M1-KB</t>
        </is>
      </c>
      <c r="B5" s="20" t="inlineStr">
        <is>
          <t>KB Import Contract</t>
        </is>
      </c>
      <c r="C5" s="20" t="inlineStr">
        <is>
          <t>knowledge_id/version/status/user/scope/import schema FROZEN</t>
        </is>
      </c>
      <c r="D5" s="20" t="inlineStr">
        <is>
          <t>D2 12:00</t>
        </is>
      </c>
      <c r="E5" s="20" t="inlineStr">
        <is>
          <t>Main-B/E</t>
        </is>
      </c>
      <c r="F5" s="20" t="inlineStr">
        <is>
          <t>R</t>
        </is>
      </c>
      <c r="G5" s="20" t="inlineStr">
        <is>
          <t>PENDING</t>
        </is>
      </c>
      <c r="H5" s="20" t="inlineStr">
        <is>
          <t>Retrieval final/KB production binding</t>
        </is>
      </c>
      <c r="I5" s="20" t="inlineStr">
        <is>
          <t>local_candidate_id候选</t>
        </is>
      </c>
      <c r="J5" s="20" t="inlineStr">
        <is>
          <t>BLOCKED_KB_CONTRACT</t>
        </is>
      </c>
      <c r="K5" s="20" t="inlineStr">
        <is>
          <t>待确认</t>
        </is>
      </c>
      <c r="L5" s="20" t="str"/>
      <c r="M5" s="20" t="str"/>
    </row>
    <row r="6">
      <c r="A6" s="20" t="inlineStr">
        <is>
          <t>M2</t>
        </is>
      </c>
      <c r="B6" s="20" t="inlineStr">
        <is>
          <t>Data RC Ready</t>
        </is>
      </c>
      <c r="C6" s="20" t="inlineStr">
        <is>
          <t>主仓可导入小RC并输出可解释结果；memory.retrieve/业务接口结构兼容</t>
        </is>
      </c>
      <c r="D6" s="20" t="inlineStr">
        <is>
          <t>D3 12:00</t>
        </is>
      </c>
      <c r="E6" s="20" t="inlineStr">
        <is>
          <t>Main-B/C/D/E</t>
        </is>
      </c>
      <c r="F6" s="20" t="inlineStr">
        <is>
          <t>R</t>
        </is>
      </c>
      <c r="G6" s="20" t="inlineStr">
        <is>
          <t>PENDING</t>
        </is>
      </c>
      <c r="H6" s="20" t="inlineStr">
        <is>
          <t>正式跨仓RC</t>
        </is>
      </c>
      <c r="I6" s="20" t="inlineStr">
        <is>
          <t>非主仓依赖标注</t>
        </is>
      </c>
      <c r="J6" s="20" t="inlineStr">
        <is>
          <t>BLOCKED_MAIN_RC</t>
        </is>
      </c>
      <c r="K6" s="20" t="inlineStr">
        <is>
          <t>待确认</t>
        </is>
      </c>
      <c r="L6" s="20" t="str"/>
      <c r="M6" s="20" t="str"/>
    </row>
    <row r="7">
      <c r="A7" s="20" t="inlineStr">
        <is>
          <t>M3</t>
        </is>
      </c>
      <c r="B7" s="20" t="inlineStr">
        <is>
          <t>Runtime Ready</t>
        </is>
      </c>
      <c r="C7" s="20" t="inlineStr">
        <is>
          <t>Frozen Build+Kylin snapshot+runner+trace/evidence路径；同commit可复现</t>
        </is>
      </c>
      <c r="D7" s="20" t="inlineStr">
        <is>
          <t>D3 18:00</t>
        </is>
      </c>
      <c r="E7" s="20" t="inlineStr">
        <is>
          <t>Main-D/C/E</t>
        </is>
      </c>
      <c r="F7" s="20" t="inlineStr">
        <is>
          <t>R</t>
        </is>
      </c>
      <c r="G7" s="20" t="inlineStr">
        <is>
          <t>PENDING</t>
        </is>
      </c>
      <c r="H7" s="20" t="inlineStr">
        <is>
          <t>35 Runtime/160 Gold</t>
        </is>
      </c>
      <c r="I7" s="20" t="inlineStr">
        <is>
          <t>625非Runtime Gold+400KB</t>
        </is>
      </c>
      <c r="J7" s="20" t="inlineStr">
        <is>
          <t>BLOCKED_RUNTIME</t>
        </is>
      </c>
      <c r="K7" s="20" t="inlineStr">
        <is>
          <t>待确认</t>
        </is>
      </c>
      <c r="L7" s="20" t="str"/>
      <c r="M7" s="20" t="str"/>
    </row>
  </sheetData>
  <mergeCells count="1">
    <mergeCell ref="A1:M1"/>
  </mergeCells>
  <dataValidations count="2">
    <dataValidation sqref="G4:G7" showDropDown="0" showInputMessage="0" showErrorMessage="0" allowBlank="0" type="list">
      <formula1>"PENDING,PASS,FAIL,BLOCKED,N/A"</formula1>
    </dataValidation>
    <dataValidation sqref="K4:K7" showDropDown="0" showInputMessage="0" showErrorMessage="0" allowBlank="0" type="list">
      <formula1>"是,否,待确认"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25" customWidth="1" min="4" max="4"/>
    <col width="34" customWidth="1" min="5" max="5"/>
    <col width="31" customWidth="1" min="6" max="6"/>
    <col width="43" customWidth="1" min="7" max="7"/>
    <col width="28" customWidth="1" min="8" max="8"/>
    <col width="28" customWidth="1" min="9" max="9"/>
    <col width="12" customWidth="1" min="10" max="10"/>
    <col width="10" customWidth="1" min="11" max="11"/>
    <col width="24" customWidth="1" min="12" max="12"/>
  </cols>
  <sheetData>
    <row r="1" ht="28" customHeight="1">
      <c r="A1" s="9" t="inlineStr">
        <is>
          <t>六类任务机械规则｜与v4一致，v4.1新增Closure前置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13" t="inlineStr">
        <is>
          <t>任务</t>
        </is>
      </c>
      <c r="B3" s="13" t="inlineStr">
        <is>
          <t>第一问</t>
        </is>
      </c>
      <c r="C3" s="13" t="inlineStr">
        <is>
          <t>第二问</t>
        </is>
      </c>
      <c r="D3" s="13" t="inlineStr">
        <is>
          <t>PASS</t>
        </is>
      </c>
      <c r="E3" s="13" t="inlineStr">
        <is>
          <t>可转边界/负例</t>
        </is>
      </c>
      <c r="F3" s="13" t="inlineStr">
        <is>
          <t>直接FAIL/DROP</t>
        </is>
      </c>
      <c r="G3" s="13" t="inlineStr">
        <is>
          <t>Gold必备</t>
        </is>
      </c>
      <c r="H3" s="13" t="inlineStr">
        <is>
          <t>AI允许</t>
        </is>
      </c>
      <c r="I3" s="13" t="inlineStr">
        <is>
          <t>AI禁止</t>
        </is>
      </c>
      <c r="J3" s="13" t="inlineStr">
        <is>
          <t>困难比例</t>
        </is>
      </c>
      <c r="K3" s="13" t="inlineStr">
        <is>
          <t>Owner</t>
        </is>
      </c>
      <c r="L3" s="13" t="inlineStr">
        <is>
          <t>备注</t>
        </is>
      </c>
    </row>
    <row r="4">
      <c r="A4" s="20" t="inlineStr">
        <is>
          <t>Preference</t>
        </is>
      </c>
      <c r="B4" s="20" t="inlineStr">
        <is>
          <t>未来持续/重复?</t>
        </is>
      </c>
      <c r="C4" s="20" t="inlineStr">
        <is>
          <t>偏好还是本次约束?</t>
        </is>
      </c>
      <c r="D4" s="20" t="inlineStr">
        <is>
          <t>persistent/approved implicit</t>
        </is>
      </c>
      <c r="E4" s="20" t="inlineStr">
        <is>
          <t>temporary/task_constraint/ordinary/non-preference</t>
        </is>
      </c>
      <c r="F4" s="20" t="inlineStr">
        <is>
          <t>纯普通问答且无价值</t>
        </is>
      </c>
      <c r="G4" s="20" t="inlineStr">
        <is>
          <t>scope,key,value,evidence,status</t>
        </is>
      </c>
      <c r="H4" s="20" t="inlineStr">
        <is>
          <t>提议类别/找证据</t>
        </is>
      </c>
      <c r="I4" s="20" t="inlineStr">
        <is>
          <t>正式样本答案</t>
        </is>
      </c>
      <c r="J4" s="20" t="inlineStr">
        <is>
          <t>25%</t>
        </is>
      </c>
      <c r="K4" s="20" t="inlineStr">
        <is>
          <t>A</t>
        </is>
      </c>
      <c r="L4" s="20" t="str"/>
    </row>
    <row r="5">
      <c r="A5" s="20" t="inlineStr">
        <is>
          <t>Retrieval</t>
        </is>
      </c>
      <c r="B5" s="20" t="inlineStr">
        <is>
          <t>有可证相关Memory?</t>
        </is>
      </c>
      <c r="C5" s="20" t="inlineStr">
        <is>
          <t>current/same-user/allowed?</t>
        </is>
      </c>
      <c r="D5" s="20" t="inlineStr">
        <is>
          <t>positive_answerable</t>
        </is>
      </c>
      <c r="E5" s="20" t="inlineStr">
        <is>
          <t>stale/cross-user/sensitive/removed/hard-negative</t>
        </is>
      </c>
      <c r="F5" s="20" t="inlineStr">
        <is>
          <t>无KB/qrel可复现证据</t>
        </is>
      </c>
      <c r="G5" s="20" t="inlineStr">
        <is>
          <t>query,relevant_ids,KB version/status/user/scope</t>
        </is>
      </c>
      <c r="H5" s="20" t="inlineStr">
        <is>
          <t>hard negative建议</t>
        </is>
      </c>
      <c r="I5" s="20" t="inlineStr">
        <is>
          <t>猜relevant_ids</t>
        </is>
      </c>
      <c r="J5" s="20" t="inlineStr">
        <is>
          <t>30%</t>
        </is>
      </c>
      <c r="K5" s="20" t="inlineStr">
        <is>
          <t>B</t>
        </is>
      </c>
      <c r="L5" s="20" t="str"/>
    </row>
    <row r="6">
      <c r="A6" s="20" t="inlineStr">
        <is>
          <t>Conflict</t>
        </is>
      </c>
      <c r="B6" s="20" t="inlineStr">
        <is>
          <t>左右能同时成立?</t>
        </is>
      </c>
      <c r="C6" s="20" t="inlineStr">
        <is>
          <t>若不能，basis是什么?</t>
        </is>
      </c>
      <c r="D6" s="20" t="inlineStr">
        <is>
          <t>actual_conflict+basis</t>
        </is>
      </c>
      <c r="E6" s="20" t="inlineStr">
        <is>
          <t>coexist/history/non-conflict</t>
        </is>
      </c>
      <c r="F6" s="20" t="inlineStr">
        <is>
          <t>仅old/new无矛盾</t>
        </is>
      </c>
      <c r="G6" s="20" t="inlineStr">
        <is>
          <t>left/right evidence,time/version,basis</t>
        </is>
      </c>
      <c r="H6" s="20" t="inlineStr">
        <is>
          <t>找候选矛盾</t>
        </is>
      </c>
      <c r="I6" s="20" t="inlineStr">
        <is>
          <t>顺序即冲突</t>
        </is>
      </c>
      <c r="J6" s="20" t="inlineStr">
        <is>
          <t>35%</t>
        </is>
      </c>
      <c r="K6" s="20" t="inlineStr">
        <is>
          <t>A</t>
        </is>
      </c>
      <c r="L6" s="20" t="str"/>
    </row>
    <row r="7">
      <c r="A7" s="20" t="inlineStr">
        <is>
          <t>Forgetting</t>
        </is>
      </c>
      <c r="B7" s="20" t="inlineStr">
        <is>
          <t>target明确?</t>
        </is>
      </c>
      <c r="C7" s="20" t="inlineStr">
        <is>
          <t>must_keep可验证?</t>
        </is>
      </c>
      <c r="D7" s="20" t="inlineStr">
        <is>
          <t>5种mode正式样本</t>
        </is>
      </c>
      <c r="E7" s="20" t="inlineStr">
        <is>
          <t>ambiguous selector</t>
        </is>
      </c>
      <c r="F7" s="20" t="inlineStr">
        <is>
          <t>无target或must_keep</t>
        </is>
      </c>
      <c r="G7" s="20" t="inlineStr">
        <is>
          <t>inventory,target,must_keep,checkpoints</t>
        </is>
      </c>
      <c r="H7" s="20" t="inlineStr">
        <is>
          <t>构造inventory草案</t>
        </is>
      </c>
      <c r="I7" s="20" t="inlineStr">
        <is>
          <t>只写忘记X</t>
        </is>
      </c>
      <c r="J7" s="20" t="inlineStr">
        <is>
          <t>30%</t>
        </is>
      </c>
      <c r="K7" s="20" t="inlineStr">
        <is>
          <t>A</t>
        </is>
      </c>
      <c r="L7" s="20" t="str"/>
    </row>
    <row r="8">
      <c r="A8" s="20" t="inlineStr">
        <is>
          <t>Tool Result</t>
        </is>
      </c>
      <c r="B8" s="20" t="inlineStr">
        <is>
          <t>真实Runtime?</t>
        </is>
      </c>
      <c r="C8" s="20" t="inlineStr">
        <is>
          <t>status+side-effect可证?</t>
        </is>
      </c>
      <c r="D8" s="20" t="inlineStr">
        <is>
          <t>5种actual status</t>
        </is>
      </c>
      <c r="E8" s="20" t="inlineStr">
        <is>
          <t>真实失败态即负例</t>
        </is>
      </c>
      <c r="F8" s="20" t="inlineStr">
        <is>
          <t>静态推断冒充Runtime</t>
        </is>
      </c>
      <c r="G8" s="20" t="inlineStr">
        <is>
          <t>trace,status,side-effect,evidence</t>
        </is>
      </c>
      <c r="H8" s="20" t="inlineStr">
        <is>
          <t>解析日志</t>
        </is>
      </c>
      <c r="I8" s="20" t="inlineStr">
        <is>
          <t>expected=actual</t>
        </is>
      </c>
      <c r="J8" s="20" t="inlineStr">
        <is>
          <t>30%</t>
        </is>
      </c>
      <c r="K8" s="20" t="inlineStr">
        <is>
          <t>B</t>
        </is>
      </c>
      <c r="L8" s="20" t="inlineStr">
        <is>
          <t>非success&gt;=40%</t>
        </is>
      </c>
    </row>
    <row r="9">
      <c r="A9" s="20" t="inlineStr">
        <is>
          <t>E2E</t>
        </is>
      </c>
      <c r="B9" s="20" t="inlineStr">
        <is>
          <t>真实场景链?</t>
        </is>
      </c>
      <c r="C9" s="20" t="inlineStr">
        <is>
          <t>多checkpoint/memory变化?</t>
        </is>
      </c>
      <c r="D9" s="20" t="inlineStr">
        <is>
          <t>runtime_verified</t>
        </is>
      </c>
      <c r="E9" s="20" t="inlineStr">
        <is>
          <t>runtime_unverified candidate</t>
        </is>
      </c>
      <c r="F9" s="20" t="inlineStr">
        <is>
          <t>单问句/截断question</t>
        </is>
      </c>
      <c r="G9" s="20" t="inlineStr">
        <is>
          <t>steps,memory,state,response,trace</t>
        </is>
      </c>
      <c r="H9" s="20" t="inlineStr">
        <is>
          <t>生成scenario script</t>
        </is>
      </c>
      <c r="I9" s="20" t="inlineStr">
        <is>
          <t>静态question当Gold</t>
        </is>
      </c>
      <c r="J9" s="20" t="inlineStr">
        <is>
          <t>40%</t>
        </is>
      </c>
      <c r="K9" s="20" t="inlineStr">
        <is>
          <t>B</t>
        </is>
      </c>
      <c r="L9" s="20" t="str"/>
    </row>
  </sheetData>
  <mergeCells count="1">
    <mergeCell ref="A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36" customWidth="1" min="4" max="4"/>
    <col width="20" customWidth="1" min="5" max="5"/>
    <col width="28" customWidth="1" min="6" max="6"/>
    <col width="12" customWidth="1" min="7" max="7"/>
    <col width="12" customWidth="1" min="8" max="8"/>
    <col width="14" customWidth="1" min="9" max="9"/>
    <col width="28" customWidth="1" min="10" max="10"/>
    <col width="28" customWidth="1" min="11" max="11"/>
    <col width="20" customWidth="1" min="12" max="12"/>
    <col width="20" customWidth="1" min="13" max="13"/>
  </cols>
  <sheetData>
    <row r="1" ht="28" customHeight="1">
      <c r="A1" s="9" t="inlineStr">
        <is>
          <t>Admission Gate｜任何FAIL不得进入Blind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13" t="inlineStr">
        <is>
          <t>Gate</t>
        </is>
      </c>
      <c r="B3" s="13" t="inlineStr">
        <is>
          <t>PASS</t>
        </is>
      </c>
      <c r="C3" s="13" t="inlineStr">
        <is>
          <t>自动/人工</t>
        </is>
      </c>
      <c r="D3" s="13" t="inlineStr">
        <is>
          <t>阈值</t>
        </is>
      </c>
      <c r="E3" s="13" t="inlineStr">
        <is>
          <t>FAIL后</t>
        </is>
      </c>
      <c r="F3" s="13" t="inlineStr">
        <is>
          <t>输出</t>
        </is>
      </c>
      <c r="G3" s="13" t="inlineStr">
        <is>
          <t>Owner</t>
        </is>
      </c>
      <c r="H3" s="13" t="inlineStr">
        <is>
          <t>状态</t>
        </is>
      </c>
      <c r="I3" s="13" t="inlineStr">
        <is>
          <t>是否可豁免</t>
        </is>
      </c>
      <c r="J3" s="13" t="inlineStr">
        <is>
          <t>reason code示例</t>
        </is>
      </c>
      <c r="K3" s="13" t="inlineStr">
        <is>
          <t>证据</t>
        </is>
      </c>
      <c r="L3" s="13" t="inlineStr">
        <is>
          <t>备注</t>
        </is>
      </c>
      <c r="M3" s="13" t="inlineStr">
        <is>
          <t>备注2</t>
        </is>
      </c>
    </row>
    <row r="4">
      <c r="A4" s="20" t="inlineStr">
        <is>
          <t>G1 Provenance</t>
        </is>
      </c>
      <c r="B4" s="20" t="inlineStr">
        <is>
          <t>raw/source/license/version/locator或generation manifest完整</t>
        </is>
      </c>
      <c r="C4" s="20" t="inlineStr">
        <is>
          <t>自动+人工</t>
        </is>
      </c>
      <c r="D4" s="20" t="inlineStr">
        <is>
          <t>unresolved=0</t>
        </is>
      </c>
      <c r="E4" s="20" t="inlineStr">
        <is>
          <t>REWORK/DROP</t>
        </is>
      </c>
      <c r="F4" s="20" t="inlineStr">
        <is>
          <t>prov report</t>
        </is>
      </c>
      <c r="G4" s="20" t="inlineStr">
        <is>
          <t>B/R</t>
        </is>
      </c>
      <c r="H4" s="20" t="inlineStr">
        <is>
          <t>PENDING</t>
        </is>
      </c>
      <c r="I4" s="20" t="inlineStr">
        <is>
          <t>否</t>
        </is>
      </c>
      <c r="J4" s="20" t="inlineStr">
        <is>
          <t>PROV_UNRESOLVED</t>
        </is>
      </c>
      <c r="K4" s="20" t="str"/>
      <c r="L4" s="20" t="str"/>
      <c r="M4" s="20" t="str"/>
    </row>
    <row r="5">
      <c r="A5" s="20" t="inlineStr">
        <is>
          <t>G2 Semantic</t>
        </is>
      </c>
      <c r="B5" s="20" t="inlineStr">
        <is>
          <t>符合任务矩阵/合法负例</t>
        </is>
      </c>
      <c r="C5" s="20" t="inlineStr">
        <is>
          <t>人工100%</t>
        </is>
      </c>
      <c r="D5" s="20" t="inlineStr">
        <is>
          <t>100%人确认</t>
        </is>
      </c>
      <c r="E5" s="20" t="inlineStr">
        <is>
          <t>RELABEL/DROP</t>
        </is>
      </c>
      <c r="F5" s="20" t="inlineStr">
        <is>
          <t>semantic review</t>
        </is>
      </c>
      <c r="G5" s="20" t="inlineStr">
        <is>
          <t>A/B</t>
        </is>
      </c>
      <c r="H5" s="20" t="inlineStr">
        <is>
          <t>PENDING</t>
        </is>
      </c>
      <c r="I5" s="20" t="inlineStr">
        <is>
          <t>否</t>
        </is>
      </c>
      <c r="J5" s="20" t="inlineStr">
        <is>
          <t>SEM_*</t>
        </is>
      </c>
      <c r="K5" s="20" t="str"/>
      <c r="L5" s="20" t="str"/>
      <c r="M5" s="20" t="str"/>
    </row>
    <row r="6">
      <c r="A6" s="20" t="inlineStr">
        <is>
          <t>G3 Annotatable</t>
        </is>
      </c>
      <c r="B6" s="20" t="inlineStr">
        <is>
          <t>context+evidence足以独立标</t>
        </is>
      </c>
      <c r="C6" s="20" t="inlineStr">
        <is>
          <t>人工</t>
        </is>
      </c>
      <c r="D6" s="20" t="inlineStr">
        <is>
          <t>ambiguous=0</t>
        </is>
      </c>
      <c r="E6" s="20" t="inlineStr">
        <is>
          <t>补证据/DROP</t>
        </is>
      </c>
      <c r="F6" s="20" t="inlineStr">
        <is>
          <t>annotatable report</t>
        </is>
      </c>
      <c r="G6" s="20" t="inlineStr">
        <is>
          <t>A/B/R</t>
        </is>
      </c>
      <c r="H6" s="20" t="inlineStr">
        <is>
          <t>PENDING</t>
        </is>
      </c>
      <c r="I6" s="20" t="inlineStr">
        <is>
          <t>否</t>
        </is>
      </c>
      <c r="J6" s="20" t="inlineStr">
        <is>
          <t>ANNOT_*</t>
        </is>
      </c>
      <c r="K6" s="20" t="str"/>
      <c r="L6" s="20" t="str"/>
      <c r="M6" s="20" t="str"/>
    </row>
    <row r="7">
      <c r="A7" s="20" t="inlineStr">
        <is>
          <t>G4 Diversity</t>
        </is>
      </c>
      <c r="B7" s="20" t="inlineStr">
        <is>
          <t>exact=0; near均审；分布不过度集中</t>
        </is>
      </c>
      <c r="C7" s="20" t="inlineStr">
        <is>
          <t>自动+R</t>
        </is>
      </c>
      <c r="D7" s="20" t="inlineStr">
        <is>
          <t>similarity&gt;0.85 review; template&gt;25% FAIL</t>
        </is>
      </c>
      <c r="E7" s="20" t="inlineStr">
        <is>
          <t>替换候选</t>
        </is>
      </c>
      <c r="F7" s="20" t="inlineStr">
        <is>
          <t>diversity report</t>
        </is>
      </c>
      <c r="G7" s="20" t="inlineStr">
        <is>
          <t>B/R</t>
        </is>
      </c>
      <c r="H7" s="20" t="inlineStr">
        <is>
          <t>PENDING</t>
        </is>
      </c>
      <c r="I7" s="20" t="inlineStr">
        <is>
          <t>否</t>
        </is>
      </c>
      <c r="J7" s="20" t="inlineStr">
        <is>
          <t>DEDUP_*</t>
        </is>
      </c>
      <c r="K7" s="20" t="str"/>
      <c r="L7" s="20" t="str"/>
      <c r="M7" s="20" t="str"/>
    </row>
    <row r="8">
      <c r="A8" s="20" t="inlineStr">
        <is>
          <t>G5 Leakage</t>
        </is>
      </c>
      <c r="B8" s="20" t="inlineStr">
        <is>
          <t>ID/content/evidence/raw/template不命中泄漏</t>
        </is>
      </c>
      <c r="C8" s="20" t="inlineStr">
        <is>
          <t>自动+R</t>
        </is>
      </c>
      <c r="D8" s="20" t="inlineStr">
        <is>
          <t>unresolved leak=0</t>
        </is>
      </c>
      <c r="E8" s="20" t="inlineStr">
        <is>
          <t>DROP/重抽</t>
        </is>
      </c>
      <c r="F8" s="20" t="inlineStr">
        <is>
          <t>leak report</t>
        </is>
      </c>
      <c r="G8" s="20" t="inlineStr">
        <is>
          <t>B/R</t>
        </is>
      </c>
      <c r="H8" s="20" t="inlineStr">
        <is>
          <t>PENDING</t>
        </is>
      </c>
      <c r="I8" s="20" t="inlineStr">
        <is>
          <t>否</t>
        </is>
      </c>
      <c r="J8" s="20" t="inlineStr">
        <is>
          <t>LEAK_*</t>
        </is>
      </c>
      <c r="K8" s="20" t="str"/>
      <c r="L8" s="20" t="str"/>
      <c r="M8" s="20" t="str"/>
    </row>
  </sheetData>
  <mergeCells count="1">
    <mergeCell ref="A1:M1"/>
  </mergeCells>
  <dataValidations count="1">
    <dataValidation sqref="H4:H8" showDropDown="0" showInputMessage="0" showErrorMessage="0" allowBlank="0" type="list">
      <formula1>"PENDING,PASS,FAIL,BLOCKED,N/A"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26" customWidth="1" min="4" max="4"/>
    <col width="32" customWidth="1" min="5" max="5"/>
    <col width="28" customWidth="1" min="6" max="6"/>
    <col width="25" customWidth="1" min="7" max="7"/>
    <col width="26" customWidth="1" min="8" max="8"/>
    <col width="28" customWidth="1" min="9" max="9"/>
    <col width="30" customWidth="1" min="10" max="10"/>
    <col width="32" customWidth="1" min="11" max="11"/>
    <col width="12" customWidth="1" min="12" max="12"/>
    <col width="22" customWidth="1" min="13" max="13"/>
  </cols>
  <sheetData>
    <row r="1" ht="28" customHeight="1">
      <c r="A1" s="9" t="inlineStr">
        <is>
          <t>正式双盲SOP｜Q8硬治理：两个不同人工A/B + 第三人工R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3">
      <c r="A3" s="13" t="inlineStr">
        <is>
          <t>阶段</t>
        </is>
      </c>
      <c r="B3" s="13" t="inlineStr">
        <is>
          <t>Step</t>
        </is>
      </c>
      <c r="C3" s="13" t="inlineStr">
        <is>
          <t>A</t>
        </is>
      </c>
      <c r="D3" s="13" t="inlineStr">
        <is>
          <t>B</t>
        </is>
      </c>
      <c r="E3" s="13" t="inlineStr">
        <is>
          <t>R</t>
        </is>
      </c>
      <c r="F3" s="13" t="inlineStr">
        <is>
          <t>AI</t>
        </is>
      </c>
      <c r="G3" s="13" t="inlineStr">
        <is>
          <t>输入</t>
        </is>
      </c>
      <c r="H3" s="13" t="inlineStr">
        <is>
          <t>输出</t>
        </is>
      </c>
      <c r="I3" s="13" t="inlineStr">
        <is>
          <t>PASS</t>
        </is>
      </c>
      <c r="J3" s="13" t="inlineStr">
        <is>
          <t>红线</t>
        </is>
      </c>
      <c r="K3" s="13" t="inlineStr">
        <is>
          <t>停止线</t>
        </is>
      </c>
      <c r="L3" s="13" t="inlineStr">
        <is>
          <t>状态</t>
        </is>
      </c>
      <c r="M3" s="13" t="inlineStr">
        <is>
          <t>备注</t>
        </is>
      </c>
    </row>
    <row r="4">
      <c r="A4" s="20" t="inlineStr">
        <is>
          <t>Calibration</t>
        </is>
      </c>
      <c r="B4" s="20" t="inlineStr">
        <is>
          <t>1</t>
        </is>
      </c>
      <c r="C4" s="20" t="inlineStr">
        <is>
          <t>领取fresh context_A</t>
        </is>
      </c>
      <c r="D4" s="20" t="inlineStr">
        <is>
          <t>领取fresh context_B</t>
        </is>
      </c>
      <c r="E4" s="20" t="inlineStr">
        <is>
          <t>确认独立性+无泄漏</t>
        </is>
      </c>
      <c r="F4" s="20" t="inlineStr">
        <is>
          <t>只检查结构</t>
        </is>
      </c>
      <c r="G4" s="20" t="inlineStr">
        <is>
          <t>40 fresh admitted</t>
        </is>
      </c>
      <c r="H4" s="20" t="inlineStr">
        <is>
          <t>blind A/B</t>
        </is>
      </c>
      <c r="I4" s="20" t="inlineStr">
        <is>
          <t>P40 audit PASS</t>
        </is>
      </c>
      <c r="J4" s="20" t="inlineStr">
        <is>
          <t>PR31旧40默认不用</t>
        </is>
      </c>
      <c r="K4" s="20" t="inlineStr">
        <is>
          <t>发现污染→换样本</t>
        </is>
      </c>
      <c r="L4" s="20" t="inlineStr">
        <is>
          <t>未开始</t>
        </is>
      </c>
      <c r="M4" s="20" t="str"/>
    </row>
    <row r="5">
      <c r="A5" s="20" t="inlineStr">
        <is>
          <t>Calibration</t>
        </is>
      </c>
      <c r="B5" s="20" t="inlineStr">
        <is>
          <t>2</t>
        </is>
      </c>
      <c r="C5" s="20" t="inlineStr">
        <is>
          <t>独立标40</t>
        </is>
      </c>
      <c r="D5" s="20" t="inlineStr">
        <is>
          <t>独立标40</t>
        </is>
      </c>
      <c r="E5" s="20" t="inlineStr">
        <is>
          <t>不提前看答案</t>
        </is>
      </c>
      <c r="F5" s="20" t="inlineStr">
        <is>
          <t>P41 NO-ANSWER</t>
        </is>
      </c>
      <c r="G5" s="20" t="inlineStr">
        <is>
          <t>blind</t>
        </is>
      </c>
      <c r="H5" s="20" t="inlineStr">
        <is>
          <t>labels_A/B</t>
        </is>
      </c>
      <c r="I5" s="20" t="inlineStr">
        <is>
          <t>40/40×2完整</t>
        </is>
      </c>
      <c r="J5" s="20" t="inlineStr">
        <is>
          <t>禁止AI label</t>
        </is>
      </c>
      <c r="K5" s="20" t="inlineStr">
        <is>
          <t>A/B互看→污染</t>
        </is>
      </c>
      <c r="L5" s="20" t="inlineStr">
        <is>
          <t>未开始</t>
        </is>
      </c>
      <c r="M5" s="20" t="str"/>
    </row>
    <row r="6">
      <c r="A6" s="20" t="inlineStr">
        <is>
          <t>Calibration</t>
        </is>
      </c>
      <c r="B6" s="20" t="inlineStr">
        <is>
          <t>3</t>
        </is>
      </c>
      <c r="C6" s="20" t="inlineStr">
        <is>
          <t>提交锁定</t>
        </is>
      </c>
      <c r="D6" s="20" t="inlineStr">
        <is>
          <t>提交锁定</t>
        </is>
      </c>
      <c r="E6" s="20" t="inlineStr">
        <is>
          <t>Kappa+裁决+freeze</t>
        </is>
      </c>
      <c r="F6" s="20" t="inlineStr">
        <is>
          <t>P50只聚类</t>
        </is>
      </c>
      <c r="G6" s="20" t="inlineStr">
        <is>
          <t>A/B labels</t>
        </is>
      </c>
      <c r="H6" s="20" t="inlineStr">
        <is>
          <t>guideline+queue</t>
        </is>
      </c>
      <c r="I6" s="20" t="inlineStr">
        <is>
          <t>Kappa&gt;=0.70</t>
        </is>
      </c>
      <c r="J6" s="20" t="inlineStr">
        <is>
          <t>R不能让AI写final</t>
        </is>
      </c>
      <c r="K6" s="20" t="inlineStr">
        <is>
          <t>&lt;0.70停Bulk</t>
        </is>
      </c>
      <c r="L6" s="20" t="inlineStr">
        <is>
          <t>未开始</t>
        </is>
      </c>
      <c r="M6" s="20" t="str"/>
    </row>
    <row r="7">
      <c r="A7" s="20" t="inlineStr">
        <is>
          <t>Bulk</t>
        </is>
      </c>
      <c r="B7" s="20" t="inlineStr">
        <is>
          <t>4</t>
        </is>
      </c>
      <c r="C7" s="20" t="inlineStr">
        <is>
          <t>25条/批独立标</t>
        </is>
      </c>
      <c r="D7" s="20" t="inlineStr">
        <is>
          <t>25条/批独立标</t>
        </is>
      </c>
      <c r="E7" s="20" t="inlineStr">
        <is>
          <t>双提交后才看</t>
        </is>
      </c>
      <c r="F7" s="20" t="inlineStr">
        <is>
          <t>P42结构辅助</t>
        </is>
      </c>
      <c r="G7" s="20" t="inlineStr">
        <is>
          <t>admitted batch</t>
        </is>
      </c>
      <c r="H7" s="20" t="inlineStr">
        <is>
          <t>A/B labels</t>
        </is>
      </c>
      <c r="I7" s="20" t="inlineStr">
        <is>
          <t>WIP&lt;=2</t>
        </is>
      </c>
      <c r="J7" s="20" t="inlineStr">
        <is>
          <t>不得兼任</t>
        </is>
      </c>
      <c r="K7" s="20" t="inlineStr">
        <is>
          <t>分歧&gt;20%停任务族</t>
        </is>
      </c>
      <c r="L7" s="20" t="inlineStr">
        <is>
          <t>未开始</t>
        </is>
      </c>
      <c r="M7" s="20" t="str"/>
    </row>
    <row r="8">
      <c r="A8" s="20" t="inlineStr">
        <is>
          <t>Bulk</t>
        </is>
      </c>
      <c r="B8" s="20" t="inlineStr">
        <is>
          <t>5</t>
        </is>
      </c>
      <c r="C8" s="20" t="inlineStr">
        <is>
          <t>只flag疑问</t>
        </is>
      </c>
      <c r="D8" s="20" t="inlineStr">
        <is>
          <t>同左</t>
        </is>
      </c>
      <c r="E8" s="20" t="inlineStr">
        <is>
          <t>100% disagreement人工裁决</t>
        </is>
      </c>
      <c r="F8" s="20" t="inlineStr">
        <is>
          <t>P50 affected cluster</t>
        </is>
      </c>
      <c r="G8" s="20" t="inlineStr">
        <is>
          <t>labels+evidence</t>
        </is>
      </c>
      <c r="H8" s="20" t="inlineStr">
        <is>
          <t>final_label</t>
        </is>
      </c>
      <c r="I8" s="20" t="inlineStr">
        <is>
          <t>decision_reason齐</t>
        </is>
      </c>
      <c r="J8" s="20" t="inlineStr">
        <is>
          <t>不能多数表决自动化</t>
        </is>
      </c>
      <c r="K8" s="20" t="inlineStr">
        <is>
          <t>同规则&gt;=3停线</t>
        </is>
      </c>
      <c r="L8" s="20" t="inlineStr">
        <is>
          <t>未开始</t>
        </is>
      </c>
      <c r="M8" s="20" t="str"/>
    </row>
  </sheetData>
  <mergeCells count="1">
    <mergeCell ref="A1:M1"/>
  </mergeCells>
  <dataValidations count="1">
    <dataValidation sqref="L4:L8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0" customWidth="1" min="4" max="4"/>
    <col width="10" customWidth="1" min="5" max="5"/>
    <col width="10" customWidth="1" min="6" max="6"/>
    <col width="26" customWidth="1" min="7" max="7"/>
    <col width="22" customWidth="1" min="8" max="8"/>
    <col width="30" customWidth="1" min="9" max="9"/>
    <col width="30" customWidth="1" min="10" max="10"/>
    <col width="30" customWidth="1" min="11" max="11"/>
    <col width="12" customWidth="1" min="12" max="12"/>
    <col width="14" customWidth="1" min="13" max="13"/>
    <col width="14" customWidth="1" min="14" max="14"/>
    <col width="30" customWidth="1" min="15" max="15"/>
    <col width="12" customWidth="1" min="16" max="16"/>
  </cols>
  <sheetData>
    <row r="1" ht="28" customHeight="1">
      <c r="A1" s="9" t="inlineStr">
        <is>
          <t>Runtime35｜M3未PASS则全部保持BLOCKED_EXTERNAL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3">
      <c r="A3" s="13" t="inlineStr">
        <is>
          <t>Session</t>
        </is>
      </c>
      <c r="B3" s="13" t="inlineStr">
        <is>
          <t>Scenario</t>
        </is>
      </c>
      <c r="C3" s="13" t="inlineStr">
        <is>
          <t>ToolEvents</t>
        </is>
      </c>
      <c r="D3" s="13" t="inlineStr">
        <is>
          <t>M1</t>
        </is>
      </c>
      <c r="E3" s="13" t="inlineStr">
        <is>
          <t>M2</t>
        </is>
      </c>
      <c r="F3" s="13" t="inlineStr">
        <is>
          <t>M3</t>
        </is>
      </c>
      <c r="G3" s="13" t="inlineStr">
        <is>
          <t>BuildHash</t>
        </is>
      </c>
      <c r="H3" s="13" t="inlineStr">
        <is>
          <t>TraceID</t>
        </is>
      </c>
      <c r="I3" s="13" t="inlineStr">
        <is>
          <t>ToolEvidence</t>
        </is>
      </c>
      <c r="J3" s="13" t="inlineStr">
        <is>
          <t>SideEffect</t>
        </is>
      </c>
      <c r="K3" s="13" t="inlineStr">
        <is>
          <t>E2ECheckpoints</t>
        </is>
      </c>
      <c r="L3" s="13" t="inlineStr">
        <is>
          <t>AI_Parse</t>
        </is>
      </c>
      <c r="M3" s="13" t="inlineStr">
        <is>
          <t>HumanVerify</t>
        </is>
      </c>
      <c r="N3" s="13" t="inlineStr">
        <is>
          <t>GoldEligible</t>
        </is>
      </c>
      <c r="O3" s="13" t="inlineStr">
        <is>
          <t>BlockReason</t>
        </is>
      </c>
      <c r="P3" s="13" t="inlineStr">
        <is>
          <t>状态</t>
        </is>
      </c>
    </row>
    <row r="4">
      <c r="A4" t="inlineStr">
        <is>
          <t>RT-01</t>
        </is>
      </c>
      <c r="B4" t="inlineStr">
        <is>
          <t>文件/目录</t>
        </is>
      </c>
      <c r="C4" t="n">
        <v>4</v>
      </c>
      <c r="D4" t="inlineStr">
        <is>
          <t>PENDING</t>
        </is>
      </c>
      <c r="E4" t="inlineStr">
        <is>
          <t>PENDING</t>
        </is>
      </c>
      <c r="F4" t="inlineStr">
        <is>
          <t>PENDING</t>
        </is>
      </c>
      <c r="L4" t="inlineStr">
        <is>
          <t>PENDING</t>
        </is>
      </c>
      <c r="M4" t="inlineStr">
        <is>
          <t>待确认</t>
        </is>
      </c>
      <c r="N4" t="inlineStr">
        <is>
          <t>待确认</t>
        </is>
      </c>
      <c r="P4" t="inlineStr">
        <is>
          <t>未开始</t>
        </is>
      </c>
    </row>
    <row r="5">
      <c r="A5" t="inlineStr">
        <is>
          <t>RT-02</t>
        </is>
      </c>
      <c r="B5" t="inlineStr">
        <is>
          <t>应用设置</t>
        </is>
      </c>
      <c r="C5" t="n">
        <v>4</v>
      </c>
      <c r="D5" t="inlineStr">
        <is>
          <t>PENDING</t>
        </is>
      </c>
      <c r="E5" t="inlineStr">
        <is>
          <t>PENDING</t>
        </is>
      </c>
      <c r="F5" t="inlineStr">
        <is>
          <t>PENDING</t>
        </is>
      </c>
      <c r="L5" t="inlineStr">
        <is>
          <t>PENDING</t>
        </is>
      </c>
      <c r="M5" t="inlineStr">
        <is>
          <t>待确认</t>
        </is>
      </c>
      <c r="N5" t="inlineStr">
        <is>
          <t>待确认</t>
        </is>
      </c>
      <c r="P5" t="inlineStr">
        <is>
          <t>未开始</t>
        </is>
      </c>
    </row>
    <row r="6">
      <c r="A6" t="inlineStr">
        <is>
          <t>RT-03</t>
        </is>
      </c>
      <c r="B6" t="inlineStr">
        <is>
          <t>备份/恢复</t>
        </is>
      </c>
      <c r="C6" t="n">
        <v>4</v>
      </c>
      <c r="D6" t="inlineStr">
        <is>
          <t>PENDING</t>
        </is>
      </c>
      <c r="E6" t="inlineStr">
        <is>
          <t>PENDING</t>
        </is>
      </c>
      <c r="F6" t="inlineStr">
        <is>
          <t>PENDING</t>
        </is>
      </c>
      <c r="L6" t="inlineStr">
        <is>
          <t>PENDING</t>
        </is>
      </c>
      <c r="M6" t="inlineStr">
        <is>
          <t>待确认</t>
        </is>
      </c>
      <c r="N6" t="inlineStr">
        <is>
          <t>待确认</t>
        </is>
      </c>
      <c r="P6" t="inlineStr">
        <is>
          <t>未开始</t>
        </is>
      </c>
    </row>
    <row r="7">
      <c r="A7" t="inlineStr">
        <is>
          <t>RT-04</t>
        </is>
      </c>
      <c r="B7" t="inlineStr">
        <is>
          <t>下载/网络</t>
        </is>
      </c>
      <c r="C7" t="n">
        <v>4</v>
      </c>
      <c r="D7" t="inlineStr">
        <is>
          <t>PENDING</t>
        </is>
      </c>
      <c r="E7" t="inlineStr">
        <is>
          <t>PENDING</t>
        </is>
      </c>
      <c r="F7" t="inlineStr">
        <is>
          <t>PENDING</t>
        </is>
      </c>
      <c r="L7" t="inlineStr">
        <is>
          <t>PENDING</t>
        </is>
      </c>
      <c r="M7" t="inlineStr">
        <is>
          <t>待确认</t>
        </is>
      </c>
      <c r="N7" t="inlineStr">
        <is>
          <t>待确认</t>
        </is>
      </c>
      <c r="P7" t="inlineStr">
        <is>
          <t>未开始</t>
        </is>
      </c>
    </row>
    <row r="8">
      <c r="A8" t="inlineStr">
        <is>
          <t>RT-05</t>
        </is>
      </c>
      <c r="B8" t="inlineStr">
        <is>
          <t>终端/命令</t>
        </is>
      </c>
      <c r="C8" t="n">
        <v>4</v>
      </c>
      <c r="D8" t="inlineStr">
        <is>
          <t>PENDING</t>
        </is>
      </c>
      <c r="E8" t="inlineStr">
        <is>
          <t>PENDING</t>
        </is>
      </c>
      <c r="F8" t="inlineStr">
        <is>
          <t>PENDING</t>
        </is>
      </c>
      <c r="L8" t="inlineStr">
        <is>
          <t>PENDING</t>
        </is>
      </c>
      <c r="M8" t="inlineStr">
        <is>
          <t>待确认</t>
        </is>
      </c>
      <c r="N8" t="inlineStr">
        <is>
          <t>待确认</t>
        </is>
      </c>
      <c r="P8" t="inlineStr">
        <is>
          <t>未开始</t>
        </is>
      </c>
    </row>
    <row r="9">
      <c r="A9" t="inlineStr">
        <is>
          <t>RT-06</t>
        </is>
      </c>
      <c r="B9" t="inlineStr">
        <is>
          <t>安装/更新</t>
        </is>
      </c>
      <c r="C9" t="n">
        <v>4</v>
      </c>
      <c r="D9" t="inlineStr">
        <is>
          <t>PENDING</t>
        </is>
      </c>
      <c r="E9" t="inlineStr">
        <is>
          <t>PENDING</t>
        </is>
      </c>
      <c r="F9" t="inlineStr">
        <is>
          <t>PENDING</t>
        </is>
      </c>
      <c r="L9" t="inlineStr">
        <is>
          <t>PENDING</t>
        </is>
      </c>
      <c r="M9" t="inlineStr">
        <is>
          <t>待确认</t>
        </is>
      </c>
      <c r="N9" t="inlineStr">
        <is>
          <t>待确认</t>
        </is>
      </c>
      <c r="P9" t="inlineStr">
        <is>
          <t>未开始</t>
        </is>
      </c>
    </row>
    <row r="10">
      <c r="A10" t="inlineStr">
        <is>
          <t>RT-07</t>
        </is>
      </c>
      <c r="B10" t="inlineStr">
        <is>
          <t>权限/确认</t>
        </is>
      </c>
      <c r="C10" t="n">
        <v>4</v>
      </c>
      <c r="D10" t="inlineStr">
        <is>
          <t>PENDING</t>
        </is>
      </c>
      <c r="E10" t="inlineStr">
        <is>
          <t>PENDING</t>
        </is>
      </c>
      <c r="F10" t="inlineStr">
        <is>
          <t>PENDING</t>
        </is>
      </c>
      <c r="L10" t="inlineStr">
        <is>
          <t>PENDING</t>
        </is>
      </c>
      <c r="M10" t="inlineStr">
        <is>
          <t>待确认</t>
        </is>
      </c>
      <c r="N10" t="inlineStr">
        <is>
          <t>待确认</t>
        </is>
      </c>
      <c r="P10" t="inlineStr">
        <is>
          <t>未开始</t>
        </is>
      </c>
    </row>
    <row r="11">
      <c r="A11" t="inlineStr">
        <is>
          <t>RT-08</t>
        </is>
      </c>
      <c r="B11" t="inlineStr">
        <is>
          <t>检索/版本</t>
        </is>
      </c>
      <c r="C11" t="n">
        <v>4</v>
      </c>
      <c r="D11" t="inlineStr">
        <is>
          <t>PENDING</t>
        </is>
      </c>
      <c r="E11" t="inlineStr">
        <is>
          <t>PENDING</t>
        </is>
      </c>
      <c r="F11" t="inlineStr">
        <is>
          <t>PENDING</t>
        </is>
      </c>
      <c r="L11" t="inlineStr">
        <is>
          <t>PENDING</t>
        </is>
      </c>
      <c r="M11" t="inlineStr">
        <is>
          <t>待确认</t>
        </is>
      </c>
      <c r="N11" t="inlineStr">
        <is>
          <t>待确认</t>
        </is>
      </c>
      <c r="P11" t="inlineStr">
        <is>
          <t>未开始</t>
        </is>
      </c>
    </row>
    <row r="12">
      <c r="A12" t="inlineStr">
        <is>
          <t>RT-09</t>
        </is>
      </c>
      <c r="B12" t="inlineStr">
        <is>
          <t>偏好/作用域</t>
        </is>
      </c>
      <c r="C12" t="n">
        <v>4</v>
      </c>
      <c r="D12" t="inlineStr">
        <is>
          <t>PENDING</t>
        </is>
      </c>
      <c r="E12" t="inlineStr">
        <is>
          <t>PENDING</t>
        </is>
      </c>
      <c r="F12" t="inlineStr">
        <is>
          <t>PENDING</t>
        </is>
      </c>
      <c r="L12" t="inlineStr">
        <is>
          <t>PENDING</t>
        </is>
      </c>
      <c r="M12" t="inlineStr">
        <is>
          <t>待确认</t>
        </is>
      </c>
      <c r="N12" t="inlineStr">
        <is>
          <t>待确认</t>
        </is>
      </c>
      <c r="P12" t="inlineStr">
        <is>
          <t>未开始</t>
        </is>
      </c>
    </row>
    <row r="13">
      <c r="A13" t="inlineStr">
        <is>
          <t>RT-10</t>
        </is>
      </c>
      <c r="B13" t="inlineStr">
        <is>
          <t>冲突</t>
        </is>
      </c>
      <c r="C13" t="n">
        <v>4</v>
      </c>
      <c r="D13" t="inlineStr">
        <is>
          <t>PENDING</t>
        </is>
      </c>
      <c r="E13" t="inlineStr">
        <is>
          <t>PENDING</t>
        </is>
      </c>
      <c r="F13" t="inlineStr">
        <is>
          <t>PENDING</t>
        </is>
      </c>
      <c r="L13" t="inlineStr">
        <is>
          <t>PENDING</t>
        </is>
      </c>
      <c r="M13" t="inlineStr">
        <is>
          <t>待确认</t>
        </is>
      </c>
      <c r="N13" t="inlineStr">
        <is>
          <t>待确认</t>
        </is>
      </c>
      <c r="P13" t="inlineStr">
        <is>
          <t>未开始</t>
        </is>
      </c>
    </row>
    <row r="14">
      <c r="A14" t="inlineStr">
        <is>
          <t>RT-11</t>
        </is>
      </c>
      <c r="B14" t="inlineStr">
        <is>
          <t>精准遗忘</t>
        </is>
      </c>
      <c r="C14" t="n">
        <v>4</v>
      </c>
      <c r="D14" t="inlineStr">
        <is>
          <t>PENDING</t>
        </is>
      </c>
      <c r="E14" t="inlineStr">
        <is>
          <t>PENDING</t>
        </is>
      </c>
      <c r="F14" t="inlineStr">
        <is>
          <t>PENDING</t>
        </is>
      </c>
      <c r="L14" t="inlineStr">
        <is>
          <t>PENDING</t>
        </is>
      </c>
      <c r="M14" t="inlineStr">
        <is>
          <t>待确认</t>
        </is>
      </c>
      <c r="N14" t="inlineStr">
        <is>
          <t>待确认</t>
        </is>
      </c>
      <c r="P14" t="inlineStr">
        <is>
          <t>未开始</t>
        </is>
      </c>
    </row>
    <row r="15">
      <c r="A15" t="inlineStr">
        <is>
          <t>RT-12</t>
        </is>
      </c>
      <c r="B15" t="inlineStr">
        <is>
          <t>重启/索引</t>
        </is>
      </c>
      <c r="C15" t="n">
        <v>4</v>
      </c>
      <c r="D15" t="inlineStr">
        <is>
          <t>PENDING</t>
        </is>
      </c>
      <c r="E15" t="inlineStr">
        <is>
          <t>PENDING</t>
        </is>
      </c>
      <c r="F15" t="inlineStr">
        <is>
          <t>PENDING</t>
        </is>
      </c>
      <c r="L15" t="inlineStr">
        <is>
          <t>PENDING</t>
        </is>
      </c>
      <c r="M15" t="inlineStr">
        <is>
          <t>待确认</t>
        </is>
      </c>
      <c r="N15" t="inlineStr">
        <is>
          <t>待确认</t>
        </is>
      </c>
      <c r="P15" t="inlineStr">
        <is>
          <t>未开始</t>
        </is>
      </c>
    </row>
    <row r="16">
      <c r="A16" t="inlineStr">
        <is>
          <t>RT-13</t>
        </is>
      </c>
      <c r="B16" t="inlineStr">
        <is>
          <t>文件/目录</t>
        </is>
      </c>
      <c r="C16" t="n">
        <v>4</v>
      </c>
      <c r="D16" t="inlineStr">
        <is>
          <t>PENDING</t>
        </is>
      </c>
      <c r="E16" t="inlineStr">
        <is>
          <t>PENDING</t>
        </is>
      </c>
      <c r="F16" t="inlineStr">
        <is>
          <t>PENDING</t>
        </is>
      </c>
      <c r="L16" t="inlineStr">
        <is>
          <t>PENDING</t>
        </is>
      </c>
      <c r="M16" t="inlineStr">
        <is>
          <t>待确认</t>
        </is>
      </c>
      <c r="N16" t="inlineStr">
        <is>
          <t>待确认</t>
        </is>
      </c>
      <c r="P16" t="inlineStr">
        <is>
          <t>未开始</t>
        </is>
      </c>
    </row>
    <row r="17">
      <c r="A17" t="inlineStr">
        <is>
          <t>RT-14</t>
        </is>
      </c>
      <c r="B17" t="inlineStr">
        <is>
          <t>应用设置</t>
        </is>
      </c>
      <c r="C17" t="n">
        <v>4</v>
      </c>
      <c r="D17" t="inlineStr">
        <is>
          <t>PENDING</t>
        </is>
      </c>
      <c r="E17" t="inlineStr">
        <is>
          <t>PENDING</t>
        </is>
      </c>
      <c r="F17" t="inlineStr">
        <is>
          <t>PENDING</t>
        </is>
      </c>
      <c r="L17" t="inlineStr">
        <is>
          <t>PENDING</t>
        </is>
      </c>
      <c r="M17" t="inlineStr">
        <is>
          <t>待确认</t>
        </is>
      </c>
      <c r="N17" t="inlineStr">
        <is>
          <t>待确认</t>
        </is>
      </c>
      <c r="P17" t="inlineStr">
        <is>
          <t>未开始</t>
        </is>
      </c>
    </row>
    <row r="18">
      <c r="A18" t="inlineStr">
        <is>
          <t>RT-15</t>
        </is>
      </c>
      <c r="B18" t="inlineStr">
        <is>
          <t>备份/恢复</t>
        </is>
      </c>
      <c r="C18" t="n">
        <v>4</v>
      </c>
      <c r="D18" t="inlineStr">
        <is>
          <t>PENDING</t>
        </is>
      </c>
      <c r="E18" t="inlineStr">
        <is>
          <t>PENDING</t>
        </is>
      </c>
      <c r="F18" t="inlineStr">
        <is>
          <t>PENDING</t>
        </is>
      </c>
      <c r="L18" t="inlineStr">
        <is>
          <t>PENDING</t>
        </is>
      </c>
      <c r="M18" t="inlineStr">
        <is>
          <t>待确认</t>
        </is>
      </c>
      <c r="N18" t="inlineStr">
        <is>
          <t>待确认</t>
        </is>
      </c>
      <c r="P18" t="inlineStr">
        <is>
          <t>未开始</t>
        </is>
      </c>
    </row>
    <row r="19">
      <c r="A19" t="inlineStr">
        <is>
          <t>RT-16</t>
        </is>
      </c>
      <c r="B19" t="inlineStr">
        <is>
          <t>下载/网络</t>
        </is>
      </c>
      <c r="C19" t="n">
        <v>4</v>
      </c>
      <c r="D19" t="inlineStr">
        <is>
          <t>PENDING</t>
        </is>
      </c>
      <c r="E19" t="inlineStr">
        <is>
          <t>PENDING</t>
        </is>
      </c>
      <c r="F19" t="inlineStr">
        <is>
          <t>PENDING</t>
        </is>
      </c>
      <c r="L19" t="inlineStr">
        <is>
          <t>PENDING</t>
        </is>
      </c>
      <c r="M19" t="inlineStr">
        <is>
          <t>待确认</t>
        </is>
      </c>
      <c r="N19" t="inlineStr">
        <is>
          <t>待确认</t>
        </is>
      </c>
      <c r="P19" t="inlineStr">
        <is>
          <t>未开始</t>
        </is>
      </c>
    </row>
    <row r="20">
      <c r="A20" t="inlineStr">
        <is>
          <t>RT-17</t>
        </is>
      </c>
      <c r="B20" t="inlineStr">
        <is>
          <t>终端/命令</t>
        </is>
      </c>
      <c r="C20" t="n">
        <v>4</v>
      </c>
      <c r="D20" t="inlineStr">
        <is>
          <t>PENDING</t>
        </is>
      </c>
      <c r="E20" t="inlineStr">
        <is>
          <t>PENDING</t>
        </is>
      </c>
      <c r="F20" t="inlineStr">
        <is>
          <t>PENDING</t>
        </is>
      </c>
      <c r="L20" t="inlineStr">
        <is>
          <t>PENDING</t>
        </is>
      </c>
      <c r="M20" t="inlineStr">
        <is>
          <t>待确认</t>
        </is>
      </c>
      <c r="N20" t="inlineStr">
        <is>
          <t>待确认</t>
        </is>
      </c>
      <c r="P20" t="inlineStr">
        <is>
          <t>未开始</t>
        </is>
      </c>
    </row>
    <row r="21">
      <c r="A21" t="inlineStr">
        <is>
          <t>RT-18</t>
        </is>
      </c>
      <c r="B21" t="inlineStr">
        <is>
          <t>安装/更新</t>
        </is>
      </c>
      <c r="C21" t="n">
        <v>4</v>
      </c>
      <c r="D21" t="inlineStr">
        <is>
          <t>PENDING</t>
        </is>
      </c>
      <c r="E21" t="inlineStr">
        <is>
          <t>PENDING</t>
        </is>
      </c>
      <c r="F21" t="inlineStr">
        <is>
          <t>PENDING</t>
        </is>
      </c>
      <c r="L21" t="inlineStr">
        <is>
          <t>PENDING</t>
        </is>
      </c>
      <c r="M21" t="inlineStr">
        <is>
          <t>待确认</t>
        </is>
      </c>
      <c r="N21" t="inlineStr">
        <is>
          <t>待确认</t>
        </is>
      </c>
      <c r="P21" t="inlineStr">
        <is>
          <t>未开始</t>
        </is>
      </c>
    </row>
    <row r="22">
      <c r="A22" t="inlineStr">
        <is>
          <t>RT-19</t>
        </is>
      </c>
      <c r="B22" t="inlineStr">
        <is>
          <t>权限/确认</t>
        </is>
      </c>
      <c r="C22" t="n">
        <v>4</v>
      </c>
      <c r="D22" t="inlineStr">
        <is>
          <t>PENDING</t>
        </is>
      </c>
      <c r="E22" t="inlineStr">
        <is>
          <t>PENDING</t>
        </is>
      </c>
      <c r="F22" t="inlineStr">
        <is>
          <t>PENDING</t>
        </is>
      </c>
      <c r="L22" t="inlineStr">
        <is>
          <t>PENDING</t>
        </is>
      </c>
      <c r="M22" t="inlineStr">
        <is>
          <t>待确认</t>
        </is>
      </c>
      <c r="N22" t="inlineStr">
        <is>
          <t>待确认</t>
        </is>
      </c>
      <c r="P22" t="inlineStr">
        <is>
          <t>未开始</t>
        </is>
      </c>
    </row>
    <row r="23">
      <c r="A23" t="inlineStr">
        <is>
          <t>RT-20</t>
        </is>
      </c>
      <c r="B23" t="inlineStr">
        <is>
          <t>检索/版本</t>
        </is>
      </c>
      <c r="C23" t="n">
        <v>4</v>
      </c>
      <c r="D23" t="inlineStr">
        <is>
          <t>PENDING</t>
        </is>
      </c>
      <c r="E23" t="inlineStr">
        <is>
          <t>PENDING</t>
        </is>
      </c>
      <c r="F23" t="inlineStr">
        <is>
          <t>PENDING</t>
        </is>
      </c>
      <c r="L23" t="inlineStr">
        <is>
          <t>PENDING</t>
        </is>
      </c>
      <c r="M23" t="inlineStr">
        <is>
          <t>待确认</t>
        </is>
      </c>
      <c r="N23" t="inlineStr">
        <is>
          <t>待确认</t>
        </is>
      </c>
      <c r="P23" t="inlineStr">
        <is>
          <t>未开始</t>
        </is>
      </c>
    </row>
    <row r="24">
      <c r="A24" t="inlineStr">
        <is>
          <t>RT-21</t>
        </is>
      </c>
      <c r="B24" t="inlineStr">
        <is>
          <t>偏好/作用域</t>
        </is>
      </c>
      <c r="C24" t="n">
        <v>3</v>
      </c>
      <c r="D24" t="inlineStr">
        <is>
          <t>PENDING</t>
        </is>
      </c>
      <c r="E24" t="inlineStr">
        <is>
          <t>PENDING</t>
        </is>
      </c>
      <c r="F24" t="inlineStr">
        <is>
          <t>PENDING</t>
        </is>
      </c>
      <c r="L24" t="inlineStr">
        <is>
          <t>PENDING</t>
        </is>
      </c>
      <c r="M24" t="inlineStr">
        <is>
          <t>待确认</t>
        </is>
      </c>
      <c r="N24" t="inlineStr">
        <is>
          <t>待确认</t>
        </is>
      </c>
      <c r="P24" t="inlineStr">
        <is>
          <t>未开始</t>
        </is>
      </c>
    </row>
    <row r="25">
      <c r="A25" t="inlineStr">
        <is>
          <t>RT-22</t>
        </is>
      </c>
      <c r="B25" t="inlineStr">
        <is>
          <t>冲突</t>
        </is>
      </c>
      <c r="C25" t="n">
        <v>3</v>
      </c>
      <c r="D25" t="inlineStr">
        <is>
          <t>PENDING</t>
        </is>
      </c>
      <c r="E25" t="inlineStr">
        <is>
          <t>PENDING</t>
        </is>
      </c>
      <c r="F25" t="inlineStr">
        <is>
          <t>PENDING</t>
        </is>
      </c>
      <c r="L25" t="inlineStr">
        <is>
          <t>PENDING</t>
        </is>
      </c>
      <c r="M25" t="inlineStr">
        <is>
          <t>待确认</t>
        </is>
      </c>
      <c r="N25" t="inlineStr">
        <is>
          <t>待确认</t>
        </is>
      </c>
      <c r="P25" t="inlineStr">
        <is>
          <t>未开始</t>
        </is>
      </c>
    </row>
    <row r="26">
      <c r="A26" t="inlineStr">
        <is>
          <t>RT-23</t>
        </is>
      </c>
      <c r="B26" t="inlineStr">
        <is>
          <t>精准遗忘</t>
        </is>
      </c>
      <c r="C26" t="n">
        <v>3</v>
      </c>
      <c r="D26" t="inlineStr">
        <is>
          <t>PENDING</t>
        </is>
      </c>
      <c r="E26" t="inlineStr">
        <is>
          <t>PENDING</t>
        </is>
      </c>
      <c r="F26" t="inlineStr">
        <is>
          <t>PENDING</t>
        </is>
      </c>
      <c r="L26" t="inlineStr">
        <is>
          <t>PENDING</t>
        </is>
      </c>
      <c r="M26" t="inlineStr">
        <is>
          <t>待确认</t>
        </is>
      </c>
      <c r="N26" t="inlineStr">
        <is>
          <t>待确认</t>
        </is>
      </c>
      <c r="P26" t="inlineStr">
        <is>
          <t>未开始</t>
        </is>
      </c>
    </row>
    <row r="27">
      <c r="A27" t="inlineStr">
        <is>
          <t>RT-24</t>
        </is>
      </c>
      <c r="B27" t="inlineStr">
        <is>
          <t>重启/索引</t>
        </is>
      </c>
      <c r="C27" t="n">
        <v>3</v>
      </c>
      <c r="D27" t="inlineStr">
        <is>
          <t>PENDING</t>
        </is>
      </c>
      <c r="E27" t="inlineStr">
        <is>
          <t>PENDING</t>
        </is>
      </c>
      <c r="F27" t="inlineStr">
        <is>
          <t>PENDING</t>
        </is>
      </c>
      <c r="L27" t="inlineStr">
        <is>
          <t>PENDING</t>
        </is>
      </c>
      <c r="M27" t="inlineStr">
        <is>
          <t>待确认</t>
        </is>
      </c>
      <c r="N27" t="inlineStr">
        <is>
          <t>待确认</t>
        </is>
      </c>
      <c r="P27" t="inlineStr">
        <is>
          <t>未开始</t>
        </is>
      </c>
    </row>
    <row r="28">
      <c r="A28" t="inlineStr">
        <is>
          <t>RT-25</t>
        </is>
      </c>
      <c r="B28" t="inlineStr">
        <is>
          <t>文件/目录</t>
        </is>
      </c>
      <c r="C28" t="n">
        <v>3</v>
      </c>
      <c r="D28" t="inlineStr">
        <is>
          <t>PENDING</t>
        </is>
      </c>
      <c r="E28" t="inlineStr">
        <is>
          <t>PENDING</t>
        </is>
      </c>
      <c r="F28" t="inlineStr">
        <is>
          <t>PENDING</t>
        </is>
      </c>
      <c r="L28" t="inlineStr">
        <is>
          <t>PENDING</t>
        </is>
      </c>
      <c r="M28" t="inlineStr">
        <is>
          <t>待确认</t>
        </is>
      </c>
      <c r="N28" t="inlineStr">
        <is>
          <t>待确认</t>
        </is>
      </c>
      <c r="P28" t="inlineStr">
        <is>
          <t>未开始</t>
        </is>
      </c>
    </row>
    <row r="29">
      <c r="A29" t="inlineStr">
        <is>
          <t>RT-26</t>
        </is>
      </c>
      <c r="B29" t="inlineStr">
        <is>
          <t>应用设置</t>
        </is>
      </c>
      <c r="C29" t="n">
        <v>3</v>
      </c>
      <c r="D29" t="inlineStr">
        <is>
          <t>PENDING</t>
        </is>
      </c>
      <c r="E29" t="inlineStr">
        <is>
          <t>PENDING</t>
        </is>
      </c>
      <c r="F29" t="inlineStr">
        <is>
          <t>PENDING</t>
        </is>
      </c>
      <c r="L29" t="inlineStr">
        <is>
          <t>PENDING</t>
        </is>
      </c>
      <c r="M29" t="inlineStr">
        <is>
          <t>待确认</t>
        </is>
      </c>
      <c r="N29" t="inlineStr">
        <is>
          <t>待确认</t>
        </is>
      </c>
      <c r="P29" t="inlineStr">
        <is>
          <t>未开始</t>
        </is>
      </c>
    </row>
    <row r="30">
      <c r="A30" t="inlineStr">
        <is>
          <t>RT-27</t>
        </is>
      </c>
      <c r="B30" t="inlineStr">
        <is>
          <t>备份/恢复</t>
        </is>
      </c>
      <c r="C30" t="n">
        <v>3</v>
      </c>
      <c r="D30" t="inlineStr">
        <is>
          <t>PENDING</t>
        </is>
      </c>
      <c r="E30" t="inlineStr">
        <is>
          <t>PENDING</t>
        </is>
      </c>
      <c r="F30" t="inlineStr">
        <is>
          <t>PENDING</t>
        </is>
      </c>
      <c r="L30" t="inlineStr">
        <is>
          <t>PENDING</t>
        </is>
      </c>
      <c r="M30" t="inlineStr">
        <is>
          <t>待确认</t>
        </is>
      </c>
      <c r="N30" t="inlineStr">
        <is>
          <t>待确认</t>
        </is>
      </c>
      <c r="P30" t="inlineStr">
        <is>
          <t>未开始</t>
        </is>
      </c>
    </row>
    <row r="31">
      <c r="A31" t="inlineStr">
        <is>
          <t>RT-28</t>
        </is>
      </c>
      <c r="B31" t="inlineStr">
        <is>
          <t>下载/网络</t>
        </is>
      </c>
      <c r="C31" t="n">
        <v>3</v>
      </c>
      <c r="D31" t="inlineStr">
        <is>
          <t>PENDING</t>
        </is>
      </c>
      <c r="E31" t="inlineStr">
        <is>
          <t>PENDING</t>
        </is>
      </c>
      <c r="F31" t="inlineStr">
        <is>
          <t>PENDING</t>
        </is>
      </c>
      <c r="L31" t="inlineStr">
        <is>
          <t>PENDING</t>
        </is>
      </c>
      <c r="M31" t="inlineStr">
        <is>
          <t>待确认</t>
        </is>
      </c>
      <c r="N31" t="inlineStr">
        <is>
          <t>待确认</t>
        </is>
      </c>
      <c r="P31" t="inlineStr">
        <is>
          <t>未开始</t>
        </is>
      </c>
    </row>
    <row r="32">
      <c r="A32" t="inlineStr">
        <is>
          <t>RT-29</t>
        </is>
      </c>
      <c r="B32" t="inlineStr">
        <is>
          <t>终端/命令</t>
        </is>
      </c>
      <c r="C32" t="n">
        <v>3</v>
      </c>
      <c r="D32" t="inlineStr">
        <is>
          <t>PENDING</t>
        </is>
      </c>
      <c r="E32" t="inlineStr">
        <is>
          <t>PENDING</t>
        </is>
      </c>
      <c r="F32" t="inlineStr">
        <is>
          <t>PENDING</t>
        </is>
      </c>
      <c r="L32" t="inlineStr">
        <is>
          <t>PENDING</t>
        </is>
      </c>
      <c r="M32" t="inlineStr">
        <is>
          <t>待确认</t>
        </is>
      </c>
      <c r="N32" t="inlineStr">
        <is>
          <t>待确认</t>
        </is>
      </c>
      <c r="P32" t="inlineStr">
        <is>
          <t>未开始</t>
        </is>
      </c>
    </row>
    <row r="33">
      <c r="A33" t="inlineStr">
        <is>
          <t>RT-30</t>
        </is>
      </c>
      <c r="B33" t="inlineStr">
        <is>
          <t>安装/更新</t>
        </is>
      </c>
      <c r="C33" t="n">
        <v>3</v>
      </c>
      <c r="D33" t="inlineStr">
        <is>
          <t>PENDING</t>
        </is>
      </c>
      <c r="E33" t="inlineStr">
        <is>
          <t>PENDING</t>
        </is>
      </c>
      <c r="F33" t="inlineStr">
        <is>
          <t>PENDING</t>
        </is>
      </c>
      <c r="L33" t="inlineStr">
        <is>
          <t>PENDING</t>
        </is>
      </c>
      <c r="M33" t="inlineStr">
        <is>
          <t>待确认</t>
        </is>
      </c>
      <c r="N33" t="inlineStr">
        <is>
          <t>待确认</t>
        </is>
      </c>
      <c r="P33" t="inlineStr">
        <is>
          <t>未开始</t>
        </is>
      </c>
    </row>
    <row r="34">
      <c r="A34" t="inlineStr">
        <is>
          <t>RT-31</t>
        </is>
      </c>
      <c r="B34" t="inlineStr">
        <is>
          <t>权限/确认</t>
        </is>
      </c>
      <c r="C34" t="n">
        <v>3</v>
      </c>
      <c r="D34" t="inlineStr">
        <is>
          <t>PENDING</t>
        </is>
      </c>
      <c r="E34" t="inlineStr">
        <is>
          <t>PENDING</t>
        </is>
      </c>
      <c r="F34" t="inlineStr">
        <is>
          <t>PENDING</t>
        </is>
      </c>
      <c r="L34" t="inlineStr">
        <is>
          <t>PENDING</t>
        </is>
      </c>
      <c r="M34" t="inlineStr">
        <is>
          <t>待确认</t>
        </is>
      </c>
      <c r="N34" t="inlineStr">
        <is>
          <t>待确认</t>
        </is>
      </c>
      <c r="P34" t="inlineStr">
        <is>
          <t>未开始</t>
        </is>
      </c>
    </row>
    <row r="35">
      <c r="A35" t="inlineStr">
        <is>
          <t>RT-32</t>
        </is>
      </c>
      <c r="B35" t="inlineStr">
        <is>
          <t>检索/版本</t>
        </is>
      </c>
      <c r="C35" t="n">
        <v>3</v>
      </c>
      <c r="D35" t="inlineStr">
        <is>
          <t>PENDING</t>
        </is>
      </c>
      <c r="E35" t="inlineStr">
        <is>
          <t>PENDING</t>
        </is>
      </c>
      <c r="F35" t="inlineStr">
        <is>
          <t>PENDING</t>
        </is>
      </c>
      <c r="L35" t="inlineStr">
        <is>
          <t>PENDING</t>
        </is>
      </c>
      <c r="M35" t="inlineStr">
        <is>
          <t>待确认</t>
        </is>
      </c>
      <c r="N35" t="inlineStr">
        <is>
          <t>待确认</t>
        </is>
      </c>
      <c r="P35" t="inlineStr">
        <is>
          <t>未开始</t>
        </is>
      </c>
    </row>
    <row r="36">
      <c r="A36" t="inlineStr">
        <is>
          <t>RT-33</t>
        </is>
      </c>
      <c r="B36" t="inlineStr">
        <is>
          <t>偏好/作用域</t>
        </is>
      </c>
      <c r="C36" t="n">
        <v>3</v>
      </c>
      <c r="D36" t="inlineStr">
        <is>
          <t>PENDING</t>
        </is>
      </c>
      <c r="E36" t="inlineStr">
        <is>
          <t>PENDING</t>
        </is>
      </c>
      <c r="F36" t="inlineStr">
        <is>
          <t>PENDING</t>
        </is>
      </c>
      <c r="L36" t="inlineStr">
        <is>
          <t>PENDING</t>
        </is>
      </c>
      <c r="M36" t="inlineStr">
        <is>
          <t>待确认</t>
        </is>
      </c>
      <c r="N36" t="inlineStr">
        <is>
          <t>待确认</t>
        </is>
      </c>
      <c r="P36" t="inlineStr">
        <is>
          <t>未开始</t>
        </is>
      </c>
    </row>
    <row r="37">
      <c r="A37" t="inlineStr">
        <is>
          <t>RT-34</t>
        </is>
      </c>
      <c r="B37" t="inlineStr">
        <is>
          <t>冲突</t>
        </is>
      </c>
      <c r="C37" t="n">
        <v>3</v>
      </c>
      <c r="D37" t="inlineStr">
        <is>
          <t>PENDING</t>
        </is>
      </c>
      <c r="E37" t="inlineStr">
        <is>
          <t>PENDING</t>
        </is>
      </c>
      <c r="F37" t="inlineStr">
        <is>
          <t>PENDING</t>
        </is>
      </c>
      <c r="L37" t="inlineStr">
        <is>
          <t>PENDING</t>
        </is>
      </c>
      <c r="M37" t="inlineStr">
        <is>
          <t>待确认</t>
        </is>
      </c>
      <c r="N37" t="inlineStr">
        <is>
          <t>待确认</t>
        </is>
      </c>
      <c r="P37" t="inlineStr">
        <is>
          <t>未开始</t>
        </is>
      </c>
    </row>
    <row r="38">
      <c r="A38" t="inlineStr">
        <is>
          <t>RT-35</t>
        </is>
      </c>
      <c r="B38" t="inlineStr">
        <is>
          <t>精准遗忘</t>
        </is>
      </c>
      <c r="C38" t="n">
        <v>3</v>
      </c>
      <c r="D38" t="inlineStr">
        <is>
          <t>PENDING</t>
        </is>
      </c>
      <c r="E38" t="inlineStr">
        <is>
          <t>PENDING</t>
        </is>
      </c>
      <c r="F38" t="inlineStr">
        <is>
          <t>PENDING</t>
        </is>
      </c>
      <c r="L38" t="inlineStr">
        <is>
          <t>PENDING</t>
        </is>
      </c>
      <c r="M38" t="inlineStr">
        <is>
          <t>待确认</t>
        </is>
      </c>
      <c r="N38" t="inlineStr">
        <is>
          <t>待确认</t>
        </is>
      </c>
      <c r="P38" t="inlineStr">
        <is>
          <t>未开始</t>
        </is>
      </c>
    </row>
  </sheetData>
  <mergeCells count="1">
    <mergeCell ref="A1:P1"/>
  </mergeCells>
  <dataValidations count="6">
    <dataValidation sqref="D4:D38" showDropDown="0" showInputMessage="0" showErrorMessage="0" allowBlank="0" type="list">
      <formula1>"PENDING,PASS,FAIL,BLOCKED,N/A"</formula1>
    </dataValidation>
    <dataValidation sqref="E4:E38" showDropDown="0" showInputMessage="0" showErrorMessage="0" allowBlank="0" type="list">
      <formula1>"PENDING,PASS,FAIL,BLOCKED,N/A"</formula1>
    </dataValidation>
    <dataValidation sqref="F4:F38" showDropDown="0" showInputMessage="0" showErrorMessage="0" allowBlank="0" type="list">
      <formula1>"PENDING,PASS,FAIL,BLOCKED,N/A"</formula1>
    </dataValidation>
    <dataValidation sqref="L4:L38" showDropDown="0" showInputMessage="0" showErrorMessage="0" allowBlank="0" type="list">
      <formula1>"PENDING,PASS,FAIL,BLOCKED,N/A"</formula1>
    </dataValidation>
    <dataValidation sqref="M4:N38" showDropDown="0" showInputMessage="0" showErrorMessage="0" allowBlank="0" type="list">
      <formula1>"是,否,待确认"</formula1>
    </dataValidation>
    <dataValidation sqref="P4:P38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2" customWidth="1" min="3" max="3"/>
    <col width="31" customWidth="1" min="4" max="4"/>
    <col width="28" customWidth="1" min="5" max="5"/>
    <col width="28" customWidth="1" min="6" max="6"/>
    <col width="14" customWidth="1" min="7" max="7"/>
    <col width="28" customWidth="1" min="8" max="8"/>
    <col width="12" customWidth="1" min="9" max="9"/>
    <col width="24" customWidth="1" min="10" max="10"/>
    <col width="12" customWidth="1" min="11" max="11"/>
    <col width="26" customWidth="1" min="12" max="12"/>
    <col width="26" customWidth="1" min="13" max="13"/>
    <col width="20" customWidth="1" min="14" max="14"/>
  </cols>
  <sheetData>
    <row r="1" ht="28" customHeight="1">
      <c r="A1" s="9" t="inlineStr">
        <is>
          <t>Reviewer + Stop-the-Line｜先修规则再修样本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>
      <c r="A3" s="13" t="inlineStr">
        <is>
          <t>Priority</t>
        </is>
      </c>
      <c r="B3" s="13" t="inlineStr">
        <is>
          <t>类型</t>
        </is>
      </c>
      <c r="C3" s="13" t="inlineStr">
        <is>
          <t>证据</t>
        </is>
      </c>
      <c r="D3" s="13" t="inlineStr">
        <is>
          <t>R动作</t>
        </is>
      </c>
      <c r="E3" s="13" t="inlineStr">
        <is>
          <t>AI动作</t>
        </is>
      </c>
      <c r="F3" s="13" t="inlineStr">
        <is>
          <t>AI禁区</t>
        </is>
      </c>
      <c r="G3" s="13" t="inlineStr">
        <is>
          <t>触发回溯</t>
        </is>
      </c>
      <c r="H3" s="13" t="inlineStr">
        <is>
          <t>回溯范围</t>
        </is>
      </c>
      <c r="I3" s="13" t="inlineStr">
        <is>
          <t>SLA</t>
        </is>
      </c>
      <c r="J3" s="13" t="inlineStr">
        <is>
          <t>输出</t>
        </is>
      </c>
      <c r="K3" s="13" t="inlineStr">
        <is>
          <t>状态</t>
        </is>
      </c>
      <c r="L3" s="13" t="inlineStr">
        <is>
          <t>Stop-line触发</t>
        </is>
      </c>
      <c r="M3" s="13" t="inlineStr">
        <is>
          <t>恢复条件</t>
        </is>
      </c>
      <c r="N3" s="13" t="inlineStr">
        <is>
          <t>备注</t>
        </is>
      </c>
    </row>
    <row r="4">
      <c r="A4" s="20" t="inlineStr">
        <is>
          <t>P0</t>
        </is>
      </c>
      <c r="B4" s="20" t="inlineStr">
        <is>
          <t>Security/Cross-user</t>
        </is>
      </c>
      <c r="C4" s="20" t="inlineStr">
        <is>
          <t>raw/evidence+contract</t>
        </is>
      </c>
      <c r="D4" s="20" t="inlineStr">
        <is>
          <t>人工裁决</t>
        </is>
      </c>
      <c r="E4" s="20" t="inlineStr">
        <is>
          <t>聚类</t>
        </is>
      </c>
      <c r="F4" s="20" t="inlineStr">
        <is>
          <t>final_label</t>
        </is>
      </c>
      <c r="G4" s="20" t="inlineStr">
        <is>
          <t>是</t>
        </is>
      </c>
      <c r="H4" s="20" t="inlineStr">
        <is>
          <t>同规则/同family</t>
        </is>
      </c>
      <c r="I4" s="20" t="inlineStr">
        <is>
          <t>&lt;2h</t>
        </is>
      </c>
      <c r="J4" s="20" t="inlineStr">
        <is>
          <t>decision log</t>
        </is>
      </c>
      <c r="K4" s="20" t="inlineStr">
        <is>
          <t>未开始</t>
        </is>
      </c>
      <c r="L4" s="20" t="inlineStr">
        <is>
          <t>任意误放</t>
        </is>
      </c>
      <c r="M4" s="20" t="inlineStr">
        <is>
          <t>规则/样本修复</t>
        </is>
      </c>
      <c r="N4" s="20" t="str"/>
    </row>
    <row r="5">
      <c r="A5" s="20" t="inlineStr">
        <is>
          <t>P0</t>
        </is>
      </c>
      <c r="B5" s="20" t="inlineStr">
        <is>
          <t>Forgetting</t>
        </is>
      </c>
      <c r="C5" s="20" t="inlineStr">
        <is>
          <t>inventory/target/must_keep</t>
        </is>
      </c>
      <c r="D5" s="20" t="inlineStr">
        <is>
          <t>核对删对不误删</t>
        </is>
      </c>
      <c r="E5" s="20" t="inlineStr">
        <is>
          <t>diff</t>
        </is>
      </c>
      <c r="F5" s="20" t="inlineStr">
        <is>
          <t>猜must_keep</t>
        </is>
      </c>
      <c r="G5" s="20" t="inlineStr">
        <is>
          <t>是</t>
        </is>
      </c>
      <c r="H5" s="20" t="inlineStr">
        <is>
          <t>同mode/selector</t>
        </is>
      </c>
      <c r="I5" s="20" t="inlineStr">
        <is>
          <t>&lt;2h</t>
        </is>
      </c>
      <c r="J5" s="20" t="inlineStr">
        <is>
          <t>decision log</t>
        </is>
      </c>
      <c r="K5" s="20" t="inlineStr">
        <is>
          <t>未开始</t>
        </is>
      </c>
      <c r="L5" s="20" t="inlineStr">
        <is>
          <t>同类&gt;=3</t>
        </is>
      </c>
      <c r="M5" s="20" t="inlineStr">
        <is>
          <t>new rule+重标</t>
        </is>
      </c>
      <c r="N5" s="20" t="str"/>
    </row>
    <row r="6">
      <c r="A6" s="20" t="inlineStr">
        <is>
          <t>P0</t>
        </is>
      </c>
      <c r="B6" s="20" t="inlineStr">
        <is>
          <t>Conflict/Version</t>
        </is>
      </c>
      <c r="C6" s="20" t="inlineStr">
        <is>
          <t>left/right/time/version</t>
        </is>
      </c>
      <c r="D6" s="20" t="inlineStr">
        <is>
          <t>先判能否共存</t>
        </is>
      </c>
      <c r="E6" s="20" t="inlineStr">
        <is>
          <t>证据并排</t>
        </is>
      </c>
      <c r="F6" s="20" t="inlineStr">
        <is>
          <t>顺序即冲突</t>
        </is>
      </c>
      <c r="G6" s="20" t="inlineStr">
        <is>
          <t>是</t>
        </is>
      </c>
      <c r="H6" s="20" t="inlineStr">
        <is>
          <t>同basis</t>
        </is>
      </c>
      <c r="I6" s="20" t="inlineStr">
        <is>
          <t>&lt;2h</t>
        </is>
      </c>
      <c r="J6" s="20" t="inlineStr">
        <is>
          <t>decision log</t>
        </is>
      </c>
      <c r="K6" s="20" t="inlineStr">
        <is>
          <t>未开始</t>
        </is>
      </c>
      <c r="L6" s="20" t="inlineStr">
        <is>
          <t>同类&gt;=3</t>
        </is>
      </c>
      <c r="M6" s="20" t="inlineStr">
        <is>
          <t>new rule+重标</t>
        </is>
      </c>
      <c r="N6" s="20" t="str"/>
    </row>
    <row r="7">
      <c r="A7" s="20" t="inlineStr">
        <is>
          <t>P1</t>
        </is>
      </c>
      <c r="B7" s="20" t="inlineStr">
        <is>
          <t>Preference/Scope</t>
        </is>
      </c>
      <c r="C7" s="20" t="inlineStr">
        <is>
          <t>完整context</t>
        </is>
      </c>
      <c r="D7" s="20" t="inlineStr">
        <is>
          <t>persistent vs temp</t>
        </is>
      </c>
      <c r="E7" s="20" t="inlineStr">
        <is>
          <t>边界聚类</t>
        </is>
      </c>
      <c r="F7" s="20" t="inlineStr">
        <is>
          <t>默认长期化</t>
        </is>
      </c>
      <c r="G7" s="20" t="inlineStr">
        <is>
          <t>可能</t>
        </is>
      </c>
      <c r="H7" s="20" t="inlineStr">
        <is>
          <t>同scope</t>
        </is>
      </c>
      <c r="I7" s="20" t="inlineStr">
        <is>
          <t>当天</t>
        </is>
      </c>
      <c r="J7" s="20" t="inlineStr">
        <is>
          <t>decision log</t>
        </is>
      </c>
      <c r="K7" s="20" t="inlineStr">
        <is>
          <t>未开始</t>
        </is>
      </c>
      <c r="L7" s="20" t="inlineStr">
        <is>
          <t>分歧&gt;20%</t>
        </is>
      </c>
      <c r="M7" s="20" t="inlineStr">
        <is>
          <t>停任务族</t>
        </is>
      </c>
      <c r="N7" s="20" t="str"/>
    </row>
    <row r="8">
      <c r="A8" s="20" t="inlineStr">
        <is>
          <t>P1</t>
        </is>
      </c>
      <c r="B8" s="20" t="inlineStr">
        <is>
          <t>Retrieval</t>
        </is>
      </c>
      <c r="C8" s="20" t="inlineStr">
        <is>
          <t>KB/qrel/status</t>
        </is>
      </c>
      <c r="D8" s="20" t="inlineStr">
        <is>
          <t>核对Gold refs</t>
        </is>
      </c>
      <c r="E8" s="20" t="inlineStr">
        <is>
          <t>ref比较</t>
        </is>
      </c>
      <c r="F8" s="20" t="inlineStr">
        <is>
          <t>词相似猜Gold</t>
        </is>
      </c>
      <c r="G8" s="20" t="inlineStr">
        <is>
          <t>可能</t>
        </is>
      </c>
      <c r="H8" s="20" t="inlineStr">
        <is>
          <t>同query family</t>
        </is>
      </c>
      <c r="I8" s="20" t="inlineStr">
        <is>
          <t>当天</t>
        </is>
      </c>
      <c r="J8" s="20" t="inlineStr">
        <is>
          <t>decision log</t>
        </is>
      </c>
      <c r="K8" s="20" t="inlineStr">
        <is>
          <t>未开始</t>
        </is>
      </c>
      <c r="L8" s="20" t="inlineStr">
        <is>
          <t>同类&gt;=3</t>
        </is>
      </c>
      <c r="M8" s="20" t="inlineStr">
        <is>
          <t>修规则/qrel</t>
        </is>
      </c>
      <c r="N8" s="20" t="str"/>
    </row>
    <row r="9">
      <c r="A9" s="20" t="inlineStr">
        <is>
          <t>P1</t>
        </is>
      </c>
      <c r="B9" s="20" t="inlineStr">
        <is>
          <t>Tool/E2E</t>
        </is>
      </c>
      <c r="C9" s="20" t="inlineStr">
        <is>
          <t>trace/side-effect</t>
        </is>
      </c>
      <c r="D9" s="20" t="inlineStr">
        <is>
          <t>证据不足=BLOCKED</t>
        </is>
      </c>
      <c r="E9" s="20" t="inlineStr">
        <is>
          <t>解析timeline</t>
        </is>
      </c>
      <c r="F9" s="20" t="inlineStr">
        <is>
          <t>expected=actual</t>
        </is>
      </c>
      <c r="G9" s="20" t="inlineStr">
        <is>
          <t>否</t>
        </is>
      </c>
      <c r="H9" s="20" t="inlineStr">
        <is>
          <t>session</t>
        </is>
      </c>
      <c r="I9" s="20" t="inlineStr">
        <is>
          <t>当天</t>
        </is>
      </c>
      <c r="J9" s="20" t="inlineStr">
        <is>
          <t>runtime review</t>
        </is>
      </c>
      <c r="K9" s="20" t="inlineStr">
        <is>
          <t>未开始</t>
        </is>
      </c>
      <c r="L9" s="20" t="inlineStr">
        <is>
          <t>缺build/trace</t>
        </is>
      </c>
      <c r="M9" s="20" t="inlineStr">
        <is>
          <t>补真实证据</t>
        </is>
      </c>
      <c r="N9" s="20" t="str"/>
    </row>
  </sheetData>
  <mergeCells count="1">
    <mergeCell ref="A1:N1"/>
  </mergeCells>
  <dataValidations count="1">
    <dataValidation sqref="K4:K9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46" customWidth="1" min="4" max="4"/>
    <col width="29" customWidth="1" min="5" max="5"/>
    <col width="29" customWidth="1" min="6" max="6"/>
    <col width="20" customWidth="1" min="7" max="7"/>
    <col width="27" customWidth="1" min="8" max="8"/>
    <col width="30" customWidth="1" min="9" max="9"/>
    <col width="10" customWidth="1" min="10" max="10"/>
    <col width="10" customWidth="1" min="11" max="11"/>
    <col width="12" customWidth="1" min="12" max="12"/>
    <col width="14" customWidth="1" min="13" max="13"/>
    <col width="22" customWidth="1" min="14" max="14"/>
  </cols>
  <sheetData>
    <row r="1" ht="28" customHeight="1">
      <c r="A1" s="9" t="inlineStr">
        <is>
          <t>正式5天执行顺序｜Closure/Tooling未完成时5天时钟不启动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3">
      <c r="A3" s="13" t="inlineStr">
        <is>
          <t>Day</t>
        </is>
      </c>
      <c r="B3" s="13" t="inlineStr">
        <is>
          <t>Time</t>
        </is>
      </c>
      <c r="C3" s="13" t="inlineStr">
        <is>
          <t>角色</t>
        </is>
      </c>
      <c r="D3" s="13" t="inlineStr">
        <is>
          <t>工作</t>
        </is>
      </c>
      <c r="E3" s="13" t="inlineStr">
        <is>
          <t>输入</t>
        </is>
      </c>
      <c r="F3" s="13" t="inlineStr">
        <is>
          <t>输出</t>
        </is>
      </c>
      <c r="G3" s="13" t="inlineStr">
        <is>
          <t>Prompt</t>
        </is>
      </c>
      <c r="H3" s="13" t="inlineStr">
        <is>
          <t>PASS</t>
        </is>
      </c>
      <c r="I3" s="13" t="inlineStr">
        <is>
          <t>FAIL动作</t>
        </is>
      </c>
      <c r="J3" s="13" t="inlineStr">
        <is>
          <t>计划h</t>
        </is>
      </c>
      <c r="K3" s="13" t="inlineStr">
        <is>
          <t>缓冲h</t>
        </is>
      </c>
      <c r="L3" s="13" t="inlineStr">
        <is>
          <t>状态</t>
        </is>
      </c>
      <c r="M3" s="13" t="inlineStr">
        <is>
          <t>是否外部依赖</t>
        </is>
      </c>
      <c r="N3" s="13" t="inlineStr">
        <is>
          <t>备注</t>
        </is>
      </c>
    </row>
    <row r="4">
      <c r="A4" s="20" t="inlineStr">
        <is>
          <t>D1</t>
        </is>
      </c>
      <c r="B4" s="20" t="inlineStr">
        <is>
          <t>09:00-12:15</t>
        </is>
      </c>
      <c r="C4" s="20" t="inlineStr">
        <is>
          <t>A</t>
        </is>
      </c>
      <c r="D4" s="20" t="inlineStr">
        <is>
          <t>Legacy-N语义重准入+Preference/Conflict/Forget candidate</t>
        </is>
      </c>
      <c r="E4" s="20" t="inlineStr">
        <is>
          <t>Frozen Legacy+rules</t>
        </is>
      </c>
      <c r="F4" s="20" t="inlineStr">
        <is>
          <t>requal/candidates</t>
        </is>
      </c>
      <c r="G4" s="20" t="inlineStr">
        <is>
          <t>P10/P20/P22/P23</t>
        </is>
      </c>
      <c r="H4" s="20" t="inlineStr">
        <is>
          <t>批次可审计</t>
        </is>
      </c>
      <c r="I4" s="20" t="inlineStr">
        <is>
          <t>停批修规则</t>
        </is>
      </c>
      <c r="J4" s="20" t="inlineStr">
        <is>
          <t>3</t>
        </is>
      </c>
      <c r="K4" s="20" t="inlineStr">
        <is>
          <t>1</t>
        </is>
      </c>
      <c r="L4" s="20" t="inlineStr">
        <is>
          <t>未开始</t>
        </is>
      </c>
      <c r="M4" s="20" t="inlineStr">
        <is>
          <t>否</t>
        </is>
      </c>
      <c r="N4" s="20" t="str"/>
    </row>
    <row r="5">
      <c r="A5" s="20" t="inlineStr">
        <is>
          <t>D1</t>
        </is>
      </c>
      <c r="B5" s="20" t="inlineStr">
        <is>
          <t>09:00-12:15</t>
        </is>
      </c>
      <c r="C5" s="20" t="inlineStr">
        <is>
          <t>B</t>
        </is>
      </c>
      <c r="D5" s="20" t="inlineStr">
        <is>
          <t>Legacy machine audit+KB/Retrieval candidate</t>
        </is>
      </c>
      <c r="E5" s="20" t="inlineStr">
        <is>
          <t>Inventory+registry</t>
        </is>
      </c>
      <c r="F5" s="20" t="inlineStr">
        <is>
          <t>machine reports/candidates</t>
        </is>
      </c>
      <c r="G5" s="20" t="inlineStr">
        <is>
          <t>P11/P21/P30</t>
        </is>
      </c>
      <c r="H5" s="20" t="inlineStr">
        <is>
          <t>G1/G4/G5机器项稳定</t>
        </is>
      </c>
      <c r="I5" s="20" t="inlineStr">
        <is>
          <t>NEEDS_IMPLEMENTATION则回Tooling</t>
        </is>
      </c>
      <c r="J5" s="20" t="inlineStr">
        <is>
          <t>3</t>
        </is>
      </c>
      <c r="K5" s="20" t="inlineStr">
        <is>
          <t>1</t>
        </is>
      </c>
      <c r="L5" s="20" t="inlineStr">
        <is>
          <t>未开始</t>
        </is>
      </c>
      <c r="M5" s="20" t="inlineStr">
        <is>
          <t>否</t>
        </is>
      </c>
      <c r="N5" s="20" t="str"/>
    </row>
    <row r="6">
      <c r="A6" s="20" t="inlineStr">
        <is>
          <t>D1</t>
        </is>
      </c>
      <c r="B6" s="20" t="inlineStr">
        <is>
          <t>09:00-12:15</t>
        </is>
      </c>
      <c r="C6" s="20" t="inlineStr">
        <is>
          <t>R</t>
        </is>
      </c>
      <c r="D6" s="20" t="inlineStr">
        <is>
          <t>核验Closure freeze+C1 frozen inventory ref；执行M1 Gate；监督P10/P11 requalification；fresh40 pool planning(不提前抽blind)</t>
        </is>
      </c>
      <c r="E6" s="20" t="inlineStr">
        <is>
          <t>closure reports</t>
        </is>
      </c>
      <c r="F6" s="20" t="inlineStr">
        <is>
          <t>trial fresh40</t>
        </is>
      </c>
      <c r="G6" s="20" t="inlineStr">
        <is>
          <t>P01/P05/P70</t>
        </is>
      </c>
      <c r="H6" s="20" t="inlineStr">
        <is>
          <t>C0-C5冻结+M1 D1 10:30</t>
        </is>
      </c>
      <c r="I6" s="20" t="inlineStr">
        <is>
          <t>正式Gold暂阻塞</t>
        </is>
      </c>
      <c r="J6" s="20" t="inlineStr">
        <is>
          <t>3</t>
        </is>
      </c>
      <c r="K6" s="20" t="inlineStr">
        <is>
          <t>1</t>
        </is>
      </c>
      <c r="L6" s="20" t="inlineStr">
        <is>
          <t>未开始</t>
        </is>
      </c>
      <c r="M6" s="20" t="inlineStr">
        <is>
          <t>是</t>
        </is>
      </c>
      <c r="N6" s="20" t="str"/>
    </row>
    <row r="7">
      <c r="A7" s="20" t="inlineStr">
        <is>
          <t>D1</t>
        </is>
      </c>
      <c r="B7" s="20" t="inlineStr">
        <is>
          <t>13:30-16:45</t>
        </is>
      </c>
      <c r="C7" s="20" t="inlineStr">
        <is>
          <t>A/B/R</t>
        </is>
      </c>
      <c r="D7" s="20" t="inlineStr">
        <is>
          <t>Admission+候选缺口按动态配额补齐</t>
        </is>
      </c>
      <c r="E7" s="20" t="inlineStr">
        <is>
          <t>quota plan</t>
        </is>
      </c>
      <c r="F7" s="20" t="inlineStr">
        <is>
          <t>admitted pool</t>
        </is>
      </c>
      <c r="G7" s="20" t="inlineStr">
        <is>
          <t>P30/P04</t>
        </is>
      </c>
      <c r="H7" s="20" t="inlineStr">
        <is>
          <t>每任务达到候选需求</t>
        </is>
      </c>
      <c r="I7" s="20" t="inlineStr">
        <is>
          <t>换source/seed</t>
        </is>
      </c>
      <c r="J7" s="20" t="inlineStr">
        <is>
          <t>3</t>
        </is>
      </c>
      <c r="K7" s="20" t="inlineStr">
        <is>
          <t>1</t>
        </is>
      </c>
      <c r="L7" s="20" t="inlineStr">
        <is>
          <t>未开始</t>
        </is>
      </c>
      <c r="M7" s="20" t="inlineStr">
        <is>
          <t>否</t>
        </is>
      </c>
      <c r="N7" s="20" t="str"/>
    </row>
    <row r="8">
      <c r="A8" s="20" t="inlineStr">
        <is>
          <t>D2</t>
        </is>
      </c>
      <c r="B8" s="20" t="inlineStr">
        <is>
          <t>09:00-12:15</t>
        </is>
      </c>
      <c r="C8" s="20" t="inlineStr">
        <is>
          <t>A/B</t>
        </is>
      </c>
      <c r="D8" s="20" t="inlineStr">
        <is>
          <t>新40 Calibration独立双盲</t>
        </is>
      </c>
      <c r="E8" s="20" t="inlineStr">
        <is>
          <t>fresh blind</t>
        </is>
      </c>
      <c r="F8" s="20" t="inlineStr">
        <is>
          <t>labels_A/B</t>
        </is>
      </c>
      <c r="G8" s="20" t="inlineStr">
        <is>
          <t>P41</t>
        </is>
      </c>
      <c r="H8" s="20" t="inlineStr">
        <is>
          <t>40×2完整</t>
        </is>
      </c>
      <c r="I8" s="20" t="inlineStr">
        <is>
          <t>污染则换样本</t>
        </is>
      </c>
      <c r="J8" s="20" t="inlineStr">
        <is>
          <t>3</t>
        </is>
      </c>
      <c r="K8" s="20" t="inlineStr">
        <is>
          <t>1</t>
        </is>
      </c>
      <c r="L8" s="20" t="inlineStr">
        <is>
          <t>未开始</t>
        </is>
      </c>
      <c r="M8" s="20" t="inlineStr">
        <is>
          <t>否</t>
        </is>
      </c>
      <c r="N8" s="20" t="str"/>
    </row>
    <row r="9">
      <c r="A9" s="20" t="inlineStr">
        <is>
          <t>D2</t>
        </is>
      </c>
      <c r="B9" s="20" t="inlineStr">
        <is>
          <t>09:00-12:15</t>
        </is>
      </c>
      <c r="C9" s="20" t="inlineStr">
        <is>
          <t>R</t>
        </is>
      </c>
      <c r="D9" s="20" t="inlineStr">
        <is>
          <t>Kappa/裁决/Guideline freeze</t>
        </is>
      </c>
      <c r="E9" s="20" t="inlineStr">
        <is>
          <t>A/B labels</t>
        </is>
      </c>
      <c r="F9" s="20" t="inlineStr">
        <is>
          <t>guideline v4.1</t>
        </is>
      </c>
      <c r="G9" s="20" t="inlineStr">
        <is>
          <t>P50</t>
        </is>
      </c>
      <c r="H9" s="20" t="inlineStr">
        <is>
          <t>Kappa&gt;=0.70</t>
        </is>
      </c>
      <c r="I9" s="20" t="inlineStr">
        <is>
          <t>停Bulk+重标</t>
        </is>
      </c>
      <c r="J9" s="20" t="inlineStr">
        <is>
          <t>3</t>
        </is>
      </c>
      <c r="K9" s="20" t="inlineStr">
        <is>
          <t>1</t>
        </is>
      </c>
      <c r="L9" s="20" t="inlineStr">
        <is>
          <t>未开始</t>
        </is>
      </c>
      <c r="M9" s="20" t="inlineStr">
        <is>
          <t>否</t>
        </is>
      </c>
      <c r="N9" s="20" t="str"/>
    </row>
    <row r="10">
      <c r="A10" s="20" t="inlineStr">
        <is>
          <t>D2</t>
        </is>
      </c>
      <c r="B10" s="20" t="inlineStr">
        <is>
          <t>13:30-16:45</t>
        </is>
      </c>
      <c r="C10" s="20" t="inlineStr">
        <is>
          <t>A/B/R</t>
        </is>
      </c>
      <c r="D10" s="20" t="inlineStr">
        <is>
          <t>Bulk Wave1 约200 final-ready + KB QA</t>
        </is>
      </c>
      <c r="E10" s="20" t="inlineStr">
        <is>
          <t>admitted batches</t>
        </is>
      </c>
      <c r="F10" s="20" t="inlineStr">
        <is>
          <t>labels/final</t>
        </is>
      </c>
      <c r="G10" s="20" t="inlineStr">
        <is>
          <t>P42/P50</t>
        </is>
      </c>
      <c r="H10" s="20" t="inlineStr">
        <is>
          <t>分歧队列受控</t>
        </is>
      </c>
      <c r="I10" s="20" t="inlineStr">
        <is>
          <t>stop-line</t>
        </is>
      </c>
      <c r="J10" s="20" t="inlineStr">
        <is>
          <t>3</t>
        </is>
      </c>
      <c r="K10" s="20" t="inlineStr">
        <is>
          <t>1</t>
        </is>
      </c>
      <c r="L10" s="20" t="inlineStr">
        <is>
          <t>未开始</t>
        </is>
      </c>
      <c r="M10" s="20" t="inlineStr">
        <is>
          <t>否</t>
        </is>
      </c>
      <c r="N10" s="20" t="str"/>
    </row>
    <row r="11">
      <c r="A11" s="20" t="inlineStr">
        <is>
          <t>D3</t>
        </is>
      </c>
      <c r="B11" s="20" t="inlineStr">
        <is>
          <t>全天</t>
        </is>
      </c>
      <c r="C11" s="20" t="inlineStr">
        <is>
          <t>A/B/R</t>
        </is>
      </c>
      <c r="D11" s="20" t="inlineStr">
        <is>
          <t>Bulk主体+KB400；M2/M3主仓Gate；Runtime dry-run</t>
        </is>
      </c>
      <c r="E11" s="20" t="inlineStr">
        <is>
          <t>batches+main packages</t>
        </is>
      </c>
      <c r="F11" s="20" t="inlineStr">
        <is>
          <t>majority final+gate report</t>
        </is>
      </c>
      <c r="G11" s="20" t="inlineStr">
        <is>
          <t>P42/P70/P60</t>
        </is>
      </c>
      <c r="H11" s="20" t="inlineStr">
        <is>
          <t>M2/M3按时</t>
        </is>
      </c>
      <c r="I11" s="20" t="inlineStr">
        <is>
          <t>Runtime BLOCKED但非Runtime继续</t>
        </is>
      </c>
      <c r="J11" s="20" t="inlineStr">
        <is>
          <t>6</t>
        </is>
      </c>
      <c r="K11" s="20" t="inlineStr">
        <is>
          <t>2</t>
        </is>
      </c>
      <c r="L11" s="20" t="inlineStr">
        <is>
          <t>未开始</t>
        </is>
      </c>
      <c r="M11" s="20" t="inlineStr">
        <is>
          <t>是</t>
        </is>
      </c>
      <c r="N11" s="20" t="str"/>
    </row>
    <row r="12">
      <c r="A12" s="20" t="inlineStr">
        <is>
          <t>D4</t>
        </is>
      </c>
      <c r="B12" s="20" t="inlineStr">
        <is>
          <t>全天</t>
        </is>
      </c>
      <c r="C12" s="20" t="inlineStr">
        <is>
          <t>A/B/R</t>
        </is>
      </c>
      <c r="D12" s="20" t="inlineStr">
        <is>
          <t>完成动态缺口；若M3 PASS执行35 Runtime；16:45冻结</t>
        </is>
      </c>
      <c r="E12" s="20" t="inlineStr">
        <is>
          <t>final batches+frozen build</t>
        </is>
      </c>
      <c r="F12" s="20" t="inlineStr">
        <is>
          <t>Gold/Runtime evidence</t>
        </is>
      </c>
      <c r="G12" s="20" t="inlineStr">
        <is>
          <t>P42/P50/P60</t>
        </is>
      </c>
      <c r="H12" s="20" t="inlineStr">
        <is>
          <t>16:45生产冻结</t>
        </is>
      </c>
      <c r="I12" s="20" t="inlineStr">
        <is>
          <t>只补P0</t>
        </is>
      </c>
      <c r="J12" s="20" t="inlineStr">
        <is>
          <t>6</t>
        </is>
      </c>
      <c r="K12" s="20" t="inlineStr">
        <is>
          <t>2</t>
        </is>
      </c>
      <c r="L12" s="20" t="inlineStr">
        <is>
          <t>未开始</t>
        </is>
      </c>
      <c r="M12" s="20" t="inlineStr">
        <is>
          <t>是</t>
        </is>
      </c>
      <c r="N12" s="20" t="str"/>
    </row>
    <row r="13">
      <c r="A13" s="20" t="inlineStr">
        <is>
          <t>D5</t>
        </is>
      </c>
      <c r="B13" s="20" t="inlineStr">
        <is>
          <t>全天</t>
        </is>
      </c>
      <c r="C13" s="20" t="inlineStr">
        <is>
          <t>A/B/R</t>
        </is>
      </c>
      <c r="D13" s="20" t="inlineStr">
        <is>
          <t>Final QA+Split+Seal generation+Release</t>
        </is>
      </c>
      <c r="E13" s="20" t="inlineStr">
        <is>
          <t>all approved</t>
        </is>
      </c>
      <c r="F13" s="20" t="inlineStr">
        <is>
          <t>DATA_RELEASE_v4.1</t>
        </is>
      </c>
      <c r="G13" s="20" t="inlineStr">
        <is>
          <t>P80/P90/P99</t>
        </is>
      </c>
      <c r="H13" s="20" t="inlineStr">
        <is>
          <t>全部P0 PASS</t>
        </is>
      </c>
      <c r="I13" s="20" t="inlineStr">
        <is>
          <t>不发布</t>
        </is>
      </c>
      <c r="J13" s="20" t="inlineStr">
        <is>
          <t>6</t>
        </is>
      </c>
      <c r="K13" s="20" t="inlineStr">
        <is>
          <t>2</t>
        </is>
      </c>
      <c r="L13" s="20" t="inlineStr">
        <is>
          <t>未开始</t>
        </is>
      </c>
      <c r="M13" s="20" t="inlineStr">
        <is>
          <t>是</t>
        </is>
      </c>
      <c r="N13" s="20" t="str"/>
    </row>
  </sheetData>
  <mergeCells count="1">
    <mergeCell ref="A1:N1"/>
  </mergeCells>
  <dataValidations count="1">
    <dataValidation sqref="L4:L13" showDropDown="0" showInputMessage="0" showErrorMessage="0" allowBlank="0" type="list">
      <formula1>"未开始,进行中,待人工确认,待Reviewer,阻塞,完成,废弃"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3" customWidth="1" min="3" max="3"/>
    <col width="18" customWidth="1" min="4" max="4"/>
    <col width="38" customWidth="1" min="5" max="5"/>
    <col width="35" customWidth="1" min="6" max="6"/>
    <col width="28" customWidth="1" min="7" max="7"/>
    <col width="12" customWidth="1" min="8" max="8"/>
    <col width="22" customWidth="1" min="9" max="9"/>
    <col width="24" customWidth="1" min="10" max="10"/>
  </cols>
  <sheetData>
    <row r="1" ht="28" customHeight="1">
      <c r="A1" s="9" t="inlineStr">
        <is>
          <t>AI Prompt Pack v4.1 索引｜Closure新增P01-P06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>
      <c r="A3" s="13" t="inlineStr">
        <is>
          <t>Prompt</t>
        </is>
      </c>
      <c r="B3" s="13" t="inlineStr">
        <is>
          <t>名称</t>
        </is>
      </c>
      <c r="C3" s="13" t="inlineStr">
        <is>
          <t>使用者</t>
        </is>
      </c>
      <c r="D3" s="13" t="inlineStr">
        <is>
          <t>阶段</t>
        </is>
      </c>
      <c r="E3" s="13" t="inlineStr">
        <is>
          <t>输出</t>
        </is>
      </c>
      <c r="F3" s="13" t="inlineStr">
        <is>
          <t>AI禁止</t>
        </is>
      </c>
      <c r="G3" s="13" t="inlineStr">
        <is>
          <t>失败码</t>
        </is>
      </c>
      <c r="H3" s="13" t="inlineStr">
        <is>
          <t>状态</t>
        </is>
      </c>
      <c r="I3" s="13" t="inlineStr">
        <is>
          <t>说明</t>
        </is>
      </c>
      <c r="J3" s="13" t="inlineStr">
        <is>
          <t>文件</t>
        </is>
      </c>
    </row>
    <row r="4">
      <c r="A4" s="20" t="inlineStr">
        <is>
          <t>P00</t>
        </is>
      </c>
      <c r="B4" s="20" t="inlineStr">
        <is>
          <t>Preflight Operator</t>
        </is>
      </c>
      <c r="C4" s="20" t="inlineStr">
        <is>
          <t>R/B</t>
        </is>
      </c>
      <c r="D4" s="20" t="inlineStr">
        <is>
          <t>开工</t>
        </is>
      </c>
      <c r="E4" s="20" t="inlineStr">
        <is>
          <t>preflight report</t>
        </is>
      </c>
      <c r="F4" s="20" t="inlineStr">
        <is>
          <t>猜冻结/文件</t>
        </is>
      </c>
      <c r="G4" s="20" t="inlineStr">
        <is>
          <t>BLOCKED_*</t>
        </is>
      </c>
      <c r="H4" s="20" t="inlineStr">
        <is>
          <t>可用</t>
        </is>
      </c>
      <c r="I4" s="20" t="inlineStr">
        <is>
          <t>原v4保留</t>
        </is>
      </c>
      <c r="J4" s="20" t="inlineStr">
        <is>
          <t>PromptPack v4.1</t>
        </is>
      </c>
    </row>
    <row r="5">
      <c r="A5" s="20" t="inlineStr">
        <is>
          <t>P01</t>
        </is>
      </c>
      <c r="B5" s="20" t="inlineStr">
        <is>
          <t>Legacy Inventory Freezer</t>
        </is>
      </c>
      <c r="C5" s="20" t="inlineStr">
        <is>
          <t>B/R</t>
        </is>
      </c>
      <c r="D5" s="20" t="inlineStr">
        <is>
          <t>Closure C1</t>
        </is>
      </c>
      <c r="E5" s="20" t="inlineStr">
        <is>
          <t>inventory+hash+candidate Legacy-N</t>
        </is>
      </c>
      <c r="F5" s="20" t="inlineStr">
        <is>
          <t>反推=265</t>
        </is>
      </c>
      <c r="G5" s="20" t="inlineStr">
        <is>
          <t>INVENTORY_NOT_FROZEN</t>
        </is>
      </c>
      <c r="H5" s="20" t="inlineStr">
        <is>
          <t>可用</t>
        </is>
      </c>
      <c r="I5" s="20" t="inlineStr">
        <is>
          <t>Q1</t>
        </is>
      </c>
      <c r="J5" s="20" t="str"/>
    </row>
    <row r="6">
      <c r="A6" s="20" t="inlineStr">
        <is>
          <t>P02</t>
        </is>
      </c>
      <c r="B6" s="20" t="inlineStr">
        <is>
          <t>Seal Revocation Manager</t>
        </is>
      </c>
      <c r="C6" s="20" t="inlineStr">
        <is>
          <t>R/B</t>
        </is>
      </c>
      <c r="D6" s="20" t="inlineStr">
        <is>
          <t>Closure C2/D5</t>
        </is>
      </c>
      <c r="E6" s="20" t="inlineStr">
        <is>
          <t>audit/revoke/reseal plan</t>
        </is>
      </c>
      <c r="F6" s="20" t="inlineStr">
        <is>
          <t>覆盖旧seal</t>
        </is>
      </c>
      <c r="G6" s="20" t="inlineStr">
        <is>
          <t>SEALED_LEAK</t>
        </is>
      </c>
      <c r="H6" s="20" t="inlineStr">
        <is>
          <t>可用</t>
        </is>
      </c>
      <c r="I6" s="20" t="inlineStr">
        <is>
          <t>Q2</t>
        </is>
      </c>
      <c r="J6" s="20" t="str"/>
    </row>
    <row r="7">
      <c r="A7" s="20" t="inlineStr">
        <is>
          <t>P03</t>
        </is>
      </c>
      <c r="B7" s="20" t="inlineStr">
        <is>
          <t>Tooling Bootstrap Agent</t>
        </is>
      </c>
      <c r="C7" s="20" t="inlineStr">
        <is>
          <t>B/R</t>
        </is>
      </c>
      <c r="D7" s="20" t="inlineStr">
        <is>
          <t>Closure C3</t>
        </is>
      </c>
      <c r="E7" s="20" t="inlineStr">
        <is>
          <t>tool existence/test/gap+implementation plan</t>
        </is>
      </c>
      <c r="F7" s="20" t="inlineStr">
        <is>
          <t>假装脚本存在</t>
        </is>
      </c>
      <c r="G7" s="20" t="inlineStr">
        <is>
          <t>NEEDS_IMPLEMENTATION</t>
        </is>
      </c>
      <c r="H7" s="20" t="inlineStr">
        <is>
          <t>可用</t>
        </is>
      </c>
      <c r="I7" s="20" t="inlineStr">
        <is>
          <t>Q3</t>
        </is>
      </c>
      <c r="J7" s="20" t="str"/>
    </row>
    <row r="8">
      <c r="A8" s="20" t="inlineStr">
        <is>
          <t>P04</t>
        </is>
      </c>
      <c r="B8" s="20" t="inlineStr">
        <is>
          <t>Dynamic Quota Planner</t>
        </is>
      </c>
      <c r="C8" s="20" t="inlineStr">
        <is>
          <t>R/B</t>
        </is>
      </c>
      <c r="D8" s="20" t="inlineStr">
        <is>
          <t>Closure/每日</t>
        </is>
      </c>
      <c r="E8" s="20" t="inlineStr">
        <is>
          <t>new_needed+candidates by task</t>
        </is>
      </c>
      <c r="F8" s="20" t="inlineStr">
        <is>
          <t>用Runtime legacy抵扣</t>
        </is>
      </c>
      <c r="G8" s="20" t="inlineStr">
        <is>
          <t>QUOTA_INCONSISTENT</t>
        </is>
      </c>
      <c r="H8" s="20" t="inlineStr">
        <is>
          <t>可用</t>
        </is>
      </c>
      <c r="I8" s="20" t="inlineStr">
        <is>
          <t>Q7</t>
        </is>
      </c>
      <c r="J8" s="20" t="str"/>
    </row>
    <row r="9">
      <c r="A9" s="20" t="inlineStr">
        <is>
          <t>P05</t>
        </is>
      </c>
      <c r="B9" s="20" t="inlineStr">
        <is>
          <t>Calibration Reuse Auditor</t>
        </is>
      </c>
      <c r="C9" s="20" t="inlineStr">
        <is>
          <t>R</t>
        </is>
      </c>
      <c r="D9" s="20" t="inlineStr">
        <is>
          <t>Closure C4</t>
        </is>
      </c>
      <c r="E9" s="20" t="inlineStr">
        <is>
          <t>HISTORY_ONLY/fresh decision</t>
        </is>
      </c>
      <c r="F9" s="20" t="inlineStr">
        <is>
          <t>默认复用旧40</t>
        </is>
      </c>
      <c r="G9" s="20" t="inlineStr">
        <is>
          <t>TRIAL_CONTAMINATED</t>
        </is>
      </c>
      <c r="H9" s="20" t="inlineStr">
        <is>
          <t>可用</t>
        </is>
      </c>
      <c r="I9" s="20" t="inlineStr">
        <is>
          <t>Q6</t>
        </is>
      </c>
      <c r="J9" s="20" t="str"/>
    </row>
    <row r="10">
      <c r="A10" s="20" t="inlineStr">
        <is>
          <t>P06</t>
        </is>
      </c>
      <c r="B10" s="20" t="inlineStr">
        <is>
          <t>Human Independence Gate</t>
        </is>
      </c>
      <c r="C10" s="20" t="inlineStr">
        <is>
          <t>R</t>
        </is>
      </c>
      <c r="D10" s="20" t="inlineStr">
        <is>
          <t>Closure C0</t>
        </is>
      </c>
      <c r="E10" s="20" t="inlineStr">
        <is>
          <t>A/B/R独立性判定</t>
        </is>
      </c>
      <c r="F10" s="20" t="inlineStr">
        <is>
          <t>AI补成人数</t>
        </is>
      </c>
      <c r="G10" s="20" t="inlineStr">
        <is>
          <t>INDEPENDENCE_FAIL</t>
        </is>
      </c>
      <c r="H10" s="20" t="inlineStr">
        <is>
          <t>可用</t>
        </is>
      </c>
      <c r="I10" s="20" t="inlineStr">
        <is>
          <t>Q8</t>
        </is>
      </c>
      <c r="J10" s="20" t="str"/>
    </row>
    <row r="11">
      <c r="A11" s="20" t="inlineStr">
        <is>
          <t>P10/P11</t>
        </is>
      </c>
      <c r="B11" s="20" t="inlineStr">
        <is>
          <t>Legacy Requal</t>
        </is>
      </c>
      <c r="C11" s="20" t="inlineStr">
        <is>
          <t>A/B</t>
        </is>
      </c>
      <c r="D11" s="20" t="inlineStr">
        <is>
          <t>D1</t>
        </is>
      </c>
      <c r="E11" s="20" t="inlineStr">
        <is>
          <t>语义建议+机器审计</t>
        </is>
      </c>
      <c r="F11" s="20" t="inlineStr">
        <is>
          <t>写human decision</t>
        </is>
      </c>
      <c r="G11" s="20" t="inlineStr">
        <is>
          <t>NEEDS_REVIEW</t>
        </is>
      </c>
      <c r="H11" s="20" t="inlineStr">
        <is>
          <t>可用</t>
        </is>
      </c>
      <c r="I11" s="20" t="str"/>
      <c r="J11" s="20" t="str"/>
    </row>
    <row r="12">
      <c r="A12" s="20" t="inlineStr">
        <is>
          <t>P20-23</t>
        </is>
      </c>
      <c r="B12" s="20" t="inlineStr">
        <is>
          <t>Candidate Factory</t>
        </is>
      </c>
      <c r="C12" s="20" t="inlineStr">
        <is>
          <t>A/B</t>
        </is>
      </c>
      <c r="D12" s="20" t="inlineStr">
        <is>
          <t>D1</t>
        </is>
      </c>
      <c r="E12" s="20" t="inlineStr">
        <is>
          <t>candidate_only</t>
        </is>
      </c>
      <c r="F12" s="20" t="inlineStr">
        <is>
          <t>final Gold</t>
        </is>
      </c>
      <c r="G12" s="20" t="inlineStr">
        <is>
          <t>CANDIDATE_ONLY</t>
        </is>
      </c>
      <c r="H12" s="20" t="inlineStr">
        <is>
          <t>可用</t>
        </is>
      </c>
      <c r="I12" s="20" t="str"/>
      <c r="J12" s="20" t="str"/>
    </row>
    <row r="13">
      <c r="A13" s="20" t="inlineStr">
        <is>
          <t>P30</t>
        </is>
      </c>
      <c r="B13" s="20" t="inlineStr">
        <is>
          <t>Admission Auditor</t>
        </is>
      </c>
      <c r="C13" s="20" t="inlineStr">
        <is>
          <t>A/B/R</t>
        </is>
      </c>
      <c r="D13" s="20" t="inlineStr">
        <is>
          <t>持续</t>
        </is>
      </c>
      <c r="E13" s="20" t="inlineStr">
        <is>
          <t>G1-G5</t>
        </is>
      </c>
      <c r="F13" s="20" t="inlineStr">
        <is>
          <t>降门槛</t>
        </is>
      </c>
      <c r="G13" s="20" t="inlineStr">
        <is>
          <t>ADMISSION_FAIL</t>
        </is>
      </c>
      <c r="H13" s="20" t="inlineStr">
        <is>
          <t>可用</t>
        </is>
      </c>
      <c r="I13" s="20" t="str"/>
      <c r="J13" s="20" t="str"/>
    </row>
    <row r="14">
      <c r="A14" s="20" t="inlineStr">
        <is>
          <t>P40/P41</t>
        </is>
      </c>
      <c r="B14" s="20" t="inlineStr">
        <is>
          <t>Blind Builder/NO ANSWER</t>
        </is>
      </c>
      <c r="C14" s="20" t="inlineStr">
        <is>
          <t>R/A/B</t>
        </is>
      </c>
      <c r="D14" s="20" t="inlineStr">
        <is>
          <t>D2</t>
        </is>
      </c>
      <c r="E14" s="20" t="inlineStr">
        <is>
          <t>fresh blind/结构辅助</t>
        </is>
      </c>
      <c r="F14" s="20" t="inlineStr">
        <is>
          <t>给label答案</t>
        </is>
      </c>
      <c r="G14" s="20" t="inlineStr">
        <is>
          <t>AI_LABEL_FORBIDDEN</t>
        </is>
      </c>
      <c r="H14" s="20" t="inlineStr">
        <is>
          <t>可用</t>
        </is>
      </c>
      <c r="I14" s="20" t="str"/>
      <c r="J14" s="20" t="str"/>
    </row>
    <row r="15">
      <c r="A15" s="20" t="inlineStr">
        <is>
          <t>P42/P50</t>
        </is>
      </c>
      <c r="B15" s="20" t="inlineStr">
        <is>
          <t>Bulk/Reviewer Cluster</t>
        </is>
      </c>
      <c r="C15" s="20" t="inlineStr">
        <is>
          <t>A/B/R</t>
        </is>
      </c>
      <c r="D15" s="20" t="inlineStr">
        <is>
          <t>D2-D4</t>
        </is>
      </c>
      <c r="E15" s="20" t="inlineStr">
        <is>
          <t>batch status/disagreement cluster</t>
        </is>
      </c>
      <c r="F15" s="20" t="inlineStr">
        <is>
          <t>自动final_label</t>
        </is>
      </c>
      <c r="G15" s="20" t="inlineStr">
        <is>
          <t>STOP_THE_LINE_*</t>
        </is>
      </c>
      <c r="H15" s="20" t="inlineStr">
        <is>
          <t>可用</t>
        </is>
      </c>
      <c r="I15" s="20" t="str"/>
      <c r="J15" s="20" t="str"/>
    </row>
    <row r="16">
      <c r="A16" s="20" t="inlineStr">
        <is>
          <t>P60/P70</t>
        </is>
      </c>
      <c r="B16" s="20" t="inlineStr">
        <is>
          <t>Runtime/Main Gate</t>
        </is>
      </c>
      <c r="C16" s="20" t="inlineStr">
        <is>
          <t>B/R</t>
        </is>
      </c>
      <c r="D16" s="20" t="inlineStr">
        <is>
          <t>D3-D4</t>
        </is>
      </c>
      <c r="E16" s="20" t="inlineStr">
        <is>
          <t>actual evidence/M1-M3</t>
        </is>
      </c>
      <c r="F16" s="20" t="inlineStr">
        <is>
          <t>expected=actual</t>
        </is>
      </c>
      <c r="G16" s="20" t="inlineStr">
        <is>
          <t>BLOCKED_RUNTIME</t>
        </is>
      </c>
      <c r="H16" s="20" t="inlineStr">
        <is>
          <t>可用</t>
        </is>
      </c>
      <c r="I16" s="20" t="str"/>
      <c r="J16" s="20" t="str"/>
    </row>
    <row r="17">
      <c r="A17" s="20" t="inlineStr">
        <is>
          <t>P80/P90/P99</t>
        </is>
      </c>
      <c r="B17" s="20" t="inlineStr">
        <is>
          <t>QA/Seal/Daily</t>
        </is>
      </c>
      <c r="C17" s="20" t="inlineStr">
        <is>
          <t>A/B/R</t>
        </is>
      </c>
      <c r="D17" s="20" t="inlineStr">
        <is>
          <t>D5</t>
        </is>
      </c>
      <c r="E17" s="20" t="inlineStr">
        <is>
          <t>qa/release/daily</t>
        </is>
      </c>
      <c r="F17" s="20" t="inlineStr">
        <is>
          <t>改Gold语义</t>
        </is>
      </c>
      <c r="G17" s="20" t="inlineStr">
        <is>
          <t>RELEASE_BLOCKED</t>
        </is>
      </c>
      <c r="H17" s="20" t="inlineStr">
        <is>
          <t>可用</t>
        </is>
      </c>
      <c r="I17" s="20" t="str"/>
      <c r="J17" s="20" t="str"/>
    </row>
  </sheetData>
  <mergeCells count="1">
    <mergeCell ref="A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2" customWidth="1" min="4" max="4"/>
    <col width="12" customWidth="1" min="5" max="5"/>
    <col width="16" customWidth="1" min="6" max="6"/>
    <col width="20" customWidth="1" min="7" max="7"/>
    <col width="38" customWidth="1" min="8" max="8"/>
    <col width="38" customWidth="1" min="9" max="9"/>
    <col width="16" customWidth="1" min="10" max="10"/>
    <col width="16" customWidth="1" min="11" max="11"/>
    <col width="34" customWidth="1" min="12" max="12"/>
  </cols>
  <sheetData>
    <row r="1" ht="28" customHeight="1">
      <c r="A1" s="9" t="inlineStr">
        <is>
          <t>AI Session Log｜每次AI参与均登记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13" t="inlineStr">
        <is>
          <t>session_id</t>
        </is>
      </c>
      <c r="B3" s="13" t="inlineStr">
        <is>
          <t>date_time</t>
        </is>
      </c>
      <c r="C3" s="13" t="inlineStr">
        <is>
          <t>operator</t>
        </is>
      </c>
      <c r="D3" s="13" t="inlineStr">
        <is>
          <t>role</t>
        </is>
      </c>
      <c r="E3" s="13" t="inlineStr">
        <is>
          <t>prompt_id</t>
        </is>
      </c>
      <c r="F3" s="13" t="inlineStr">
        <is>
          <t>prompt_version</t>
        </is>
      </c>
      <c r="G3" s="13" t="inlineStr">
        <is>
          <t>model</t>
        </is>
      </c>
      <c r="H3" s="13" t="inlineStr">
        <is>
          <t>input_paths</t>
        </is>
      </c>
      <c r="I3" s="13" t="inlineStr">
        <is>
          <t>output_path</t>
        </is>
      </c>
      <c r="J3" s="13" t="inlineStr">
        <is>
          <t>ai_status</t>
        </is>
      </c>
      <c r="K3" s="13" t="inlineStr">
        <is>
          <t>human_adoption</t>
        </is>
      </c>
      <c r="L3" s="13" t="inlineStr">
        <is>
          <t>notes</t>
        </is>
      </c>
    </row>
  </sheetData>
  <mergeCells count="1">
    <mergeCell ref="A1:L1"/>
  </mergeCells>
  <dataValidations count="400">
    <dataValidation sqref="J4" showDropDown="0" showInputMessage="0" showErrorMessage="0" allowBlank="0" type="list">
      <formula1>"OK,NEEDS_REVIEW,BLOCKED,ERROR"</formula1>
    </dataValidation>
    <dataValidation sqref="K4" showDropDown="0" showInputMessage="0" showErrorMessage="0" allowBlank="0" type="list">
      <formula1>"采纳,部分采纳,拒绝,待确认"</formula1>
    </dataValidation>
    <dataValidation sqref="J5" showDropDown="0" showInputMessage="0" showErrorMessage="0" allowBlank="0" type="list">
      <formula1>"OK,NEEDS_REVIEW,BLOCKED,ERROR"</formula1>
    </dataValidation>
    <dataValidation sqref="K5" showDropDown="0" showInputMessage="0" showErrorMessage="0" allowBlank="0" type="list">
      <formula1>"采纳,部分采纳,拒绝,待确认"</formula1>
    </dataValidation>
    <dataValidation sqref="J6" showDropDown="0" showInputMessage="0" showErrorMessage="0" allowBlank="0" type="list">
      <formula1>"OK,NEEDS_REVIEW,BLOCKED,ERROR"</formula1>
    </dataValidation>
    <dataValidation sqref="K6" showDropDown="0" showInputMessage="0" showErrorMessage="0" allowBlank="0" type="list">
      <formula1>"采纳,部分采纳,拒绝,待确认"</formula1>
    </dataValidation>
    <dataValidation sqref="J7" showDropDown="0" showInputMessage="0" showErrorMessage="0" allowBlank="0" type="list">
      <formula1>"OK,NEEDS_REVIEW,BLOCKED,ERROR"</formula1>
    </dataValidation>
    <dataValidation sqref="K7" showDropDown="0" showInputMessage="0" showErrorMessage="0" allowBlank="0" type="list">
      <formula1>"采纳,部分采纳,拒绝,待确认"</formula1>
    </dataValidation>
    <dataValidation sqref="J8" showDropDown="0" showInputMessage="0" showErrorMessage="0" allowBlank="0" type="list">
      <formula1>"OK,NEEDS_REVIEW,BLOCKED,ERROR"</formula1>
    </dataValidation>
    <dataValidation sqref="K8" showDropDown="0" showInputMessage="0" showErrorMessage="0" allowBlank="0" type="list">
      <formula1>"采纳,部分采纳,拒绝,待确认"</formula1>
    </dataValidation>
    <dataValidation sqref="J9" showDropDown="0" showInputMessage="0" showErrorMessage="0" allowBlank="0" type="list">
      <formula1>"OK,NEEDS_REVIEW,BLOCKED,ERROR"</formula1>
    </dataValidation>
    <dataValidation sqref="K9" showDropDown="0" showInputMessage="0" showErrorMessage="0" allowBlank="0" type="list">
      <formula1>"采纳,部分采纳,拒绝,待确认"</formula1>
    </dataValidation>
    <dataValidation sqref="J10" showDropDown="0" showInputMessage="0" showErrorMessage="0" allowBlank="0" type="list">
      <formula1>"OK,NEEDS_REVIEW,BLOCKED,ERROR"</formula1>
    </dataValidation>
    <dataValidation sqref="K10" showDropDown="0" showInputMessage="0" showErrorMessage="0" allowBlank="0" type="list">
      <formula1>"采纳,部分采纳,拒绝,待确认"</formula1>
    </dataValidation>
    <dataValidation sqref="J11" showDropDown="0" showInputMessage="0" showErrorMessage="0" allowBlank="0" type="list">
      <formula1>"OK,NEEDS_REVIEW,BLOCKED,ERROR"</formula1>
    </dataValidation>
    <dataValidation sqref="K11" showDropDown="0" showInputMessage="0" showErrorMessage="0" allowBlank="0" type="list">
      <formula1>"采纳,部分采纳,拒绝,待确认"</formula1>
    </dataValidation>
    <dataValidation sqref="J12" showDropDown="0" showInputMessage="0" showErrorMessage="0" allowBlank="0" type="list">
      <formula1>"OK,NEEDS_REVIEW,BLOCKED,ERROR"</formula1>
    </dataValidation>
    <dataValidation sqref="K12" showDropDown="0" showInputMessage="0" showErrorMessage="0" allowBlank="0" type="list">
      <formula1>"采纳,部分采纳,拒绝,待确认"</formula1>
    </dataValidation>
    <dataValidation sqref="J13" showDropDown="0" showInputMessage="0" showErrorMessage="0" allowBlank="0" type="list">
      <formula1>"OK,NEEDS_REVIEW,BLOCKED,ERROR"</formula1>
    </dataValidation>
    <dataValidation sqref="K13" showDropDown="0" showInputMessage="0" showErrorMessage="0" allowBlank="0" type="list">
      <formula1>"采纳,部分采纳,拒绝,待确认"</formula1>
    </dataValidation>
    <dataValidation sqref="J14" showDropDown="0" showInputMessage="0" showErrorMessage="0" allowBlank="0" type="list">
      <formula1>"OK,NEEDS_REVIEW,BLOCKED,ERROR"</formula1>
    </dataValidation>
    <dataValidation sqref="K14" showDropDown="0" showInputMessage="0" showErrorMessage="0" allowBlank="0" type="list">
      <formula1>"采纳,部分采纳,拒绝,待确认"</formula1>
    </dataValidation>
    <dataValidation sqref="J15" showDropDown="0" showInputMessage="0" showErrorMessage="0" allowBlank="0" type="list">
      <formula1>"OK,NEEDS_REVIEW,BLOCKED,ERROR"</formula1>
    </dataValidation>
    <dataValidation sqref="K15" showDropDown="0" showInputMessage="0" showErrorMessage="0" allowBlank="0" type="list">
      <formula1>"采纳,部分采纳,拒绝,待确认"</formula1>
    </dataValidation>
    <dataValidation sqref="J16" showDropDown="0" showInputMessage="0" showErrorMessage="0" allowBlank="0" type="list">
      <formula1>"OK,NEEDS_REVIEW,BLOCKED,ERROR"</formula1>
    </dataValidation>
    <dataValidation sqref="K16" showDropDown="0" showInputMessage="0" showErrorMessage="0" allowBlank="0" type="list">
      <formula1>"采纳,部分采纳,拒绝,待确认"</formula1>
    </dataValidation>
    <dataValidation sqref="J17" showDropDown="0" showInputMessage="0" showErrorMessage="0" allowBlank="0" type="list">
      <formula1>"OK,NEEDS_REVIEW,BLOCKED,ERROR"</formula1>
    </dataValidation>
    <dataValidation sqref="K17" showDropDown="0" showInputMessage="0" showErrorMessage="0" allowBlank="0" type="list">
      <formula1>"采纳,部分采纳,拒绝,待确认"</formula1>
    </dataValidation>
    <dataValidation sqref="J18" showDropDown="0" showInputMessage="0" showErrorMessage="0" allowBlank="0" type="list">
      <formula1>"OK,NEEDS_REVIEW,BLOCKED,ERROR"</formula1>
    </dataValidation>
    <dataValidation sqref="K18" showDropDown="0" showInputMessage="0" showErrorMessage="0" allowBlank="0" type="list">
      <formula1>"采纳,部分采纳,拒绝,待确认"</formula1>
    </dataValidation>
    <dataValidation sqref="J19" showDropDown="0" showInputMessage="0" showErrorMessage="0" allowBlank="0" type="list">
      <formula1>"OK,NEEDS_REVIEW,BLOCKED,ERROR"</formula1>
    </dataValidation>
    <dataValidation sqref="K19" showDropDown="0" showInputMessage="0" showErrorMessage="0" allowBlank="0" type="list">
      <formula1>"采纳,部分采纳,拒绝,待确认"</formula1>
    </dataValidation>
    <dataValidation sqref="J20" showDropDown="0" showInputMessage="0" showErrorMessage="0" allowBlank="0" type="list">
      <formula1>"OK,NEEDS_REVIEW,BLOCKED,ERROR"</formula1>
    </dataValidation>
    <dataValidation sqref="K20" showDropDown="0" showInputMessage="0" showErrorMessage="0" allowBlank="0" type="list">
      <formula1>"采纳,部分采纳,拒绝,待确认"</formula1>
    </dataValidation>
    <dataValidation sqref="J21" showDropDown="0" showInputMessage="0" showErrorMessage="0" allowBlank="0" type="list">
      <formula1>"OK,NEEDS_REVIEW,BLOCKED,ERROR"</formula1>
    </dataValidation>
    <dataValidation sqref="K21" showDropDown="0" showInputMessage="0" showErrorMessage="0" allowBlank="0" type="list">
      <formula1>"采纳,部分采纳,拒绝,待确认"</formula1>
    </dataValidation>
    <dataValidation sqref="J22" showDropDown="0" showInputMessage="0" showErrorMessage="0" allowBlank="0" type="list">
      <formula1>"OK,NEEDS_REVIEW,BLOCKED,ERROR"</formula1>
    </dataValidation>
    <dataValidation sqref="K22" showDropDown="0" showInputMessage="0" showErrorMessage="0" allowBlank="0" type="list">
      <formula1>"采纳,部分采纳,拒绝,待确认"</formula1>
    </dataValidation>
    <dataValidation sqref="J23" showDropDown="0" showInputMessage="0" showErrorMessage="0" allowBlank="0" type="list">
      <formula1>"OK,NEEDS_REVIEW,BLOCKED,ERROR"</formula1>
    </dataValidation>
    <dataValidation sqref="K23" showDropDown="0" showInputMessage="0" showErrorMessage="0" allowBlank="0" type="list">
      <formula1>"采纳,部分采纳,拒绝,待确认"</formula1>
    </dataValidation>
    <dataValidation sqref="J24" showDropDown="0" showInputMessage="0" showErrorMessage="0" allowBlank="0" type="list">
      <formula1>"OK,NEEDS_REVIEW,BLOCKED,ERROR"</formula1>
    </dataValidation>
    <dataValidation sqref="K24" showDropDown="0" showInputMessage="0" showErrorMessage="0" allowBlank="0" type="list">
      <formula1>"采纳,部分采纳,拒绝,待确认"</formula1>
    </dataValidation>
    <dataValidation sqref="J25" showDropDown="0" showInputMessage="0" showErrorMessage="0" allowBlank="0" type="list">
      <formula1>"OK,NEEDS_REVIEW,BLOCKED,ERROR"</formula1>
    </dataValidation>
    <dataValidation sqref="K25" showDropDown="0" showInputMessage="0" showErrorMessage="0" allowBlank="0" type="list">
      <formula1>"采纳,部分采纳,拒绝,待确认"</formula1>
    </dataValidation>
    <dataValidation sqref="J26" showDropDown="0" showInputMessage="0" showErrorMessage="0" allowBlank="0" type="list">
      <formula1>"OK,NEEDS_REVIEW,BLOCKED,ERROR"</formula1>
    </dataValidation>
    <dataValidation sqref="K26" showDropDown="0" showInputMessage="0" showErrorMessage="0" allowBlank="0" type="list">
      <formula1>"采纳,部分采纳,拒绝,待确认"</formula1>
    </dataValidation>
    <dataValidation sqref="J27" showDropDown="0" showInputMessage="0" showErrorMessage="0" allowBlank="0" type="list">
      <formula1>"OK,NEEDS_REVIEW,BLOCKED,ERROR"</formula1>
    </dataValidation>
    <dataValidation sqref="K27" showDropDown="0" showInputMessage="0" showErrorMessage="0" allowBlank="0" type="list">
      <formula1>"采纳,部分采纳,拒绝,待确认"</formula1>
    </dataValidation>
    <dataValidation sqref="J28" showDropDown="0" showInputMessage="0" showErrorMessage="0" allowBlank="0" type="list">
      <formula1>"OK,NEEDS_REVIEW,BLOCKED,ERROR"</formula1>
    </dataValidation>
    <dataValidation sqref="K28" showDropDown="0" showInputMessage="0" showErrorMessage="0" allowBlank="0" type="list">
      <formula1>"采纳,部分采纳,拒绝,待确认"</formula1>
    </dataValidation>
    <dataValidation sqref="J29" showDropDown="0" showInputMessage="0" showErrorMessage="0" allowBlank="0" type="list">
      <formula1>"OK,NEEDS_REVIEW,BLOCKED,ERROR"</formula1>
    </dataValidation>
    <dataValidation sqref="K29" showDropDown="0" showInputMessage="0" showErrorMessage="0" allowBlank="0" type="list">
      <formula1>"采纳,部分采纳,拒绝,待确认"</formula1>
    </dataValidation>
    <dataValidation sqref="J30" showDropDown="0" showInputMessage="0" showErrorMessage="0" allowBlank="0" type="list">
      <formula1>"OK,NEEDS_REVIEW,BLOCKED,ERROR"</formula1>
    </dataValidation>
    <dataValidation sqref="K30" showDropDown="0" showInputMessage="0" showErrorMessage="0" allowBlank="0" type="list">
      <formula1>"采纳,部分采纳,拒绝,待确认"</formula1>
    </dataValidation>
    <dataValidation sqref="J31" showDropDown="0" showInputMessage="0" showErrorMessage="0" allowBlank="0" type="list">
      <formula1>"OK,NEEDS_REVIEW,BLOCKED,ERROR"</formula1>
    </dataValidation>
    <dataValidation sqref="K31" showDropDown="0" showInputMessage="0" showErrorMessage="0" allowBlank="0" type="list">
      <formula1>"采纳,部分采纳,拒绝,待确认"</formula1>
    </dataValidation>
    <dataValidation sqref="J32" showDropDown="0" showInputMessage="0" showErrorMessage="0" allowBlank="0" type="list">
      <formula1>"OK,NEEDS_REVIEW,BLOCKED,ERROR"</formula1>
    </dataValidation>
    <dataValidation sqref="K32" showDropDown="0" showInputMessage="0" showErrorMessage="0" allowBlank="0" type="list">
      <formula1>"采纳,部分采纳,拒绝,待确认"</formula1>
    </dataValidation>
    <dataValidation sqref="J33" showDropDown="0" showInputMessage="0" showErrorMessage="0" allowBlank="0" type="list">
      <formula1>"OK,NEEDS_REVIEW,BLOCKED,ERROR"</formula1>
    </dataValidation>
    <dataValidation sqref="K33" showDropDown="0" showInputMessage="0" showErrorMessage="0" allowBlank="0" type="list">
      <formula1>"采纳,部分采纳,拒绝,待确认"</formula1>
    </dataValidation>
    <dataValidation sqref="J34" showDropDown="0" showInputMessage="0" showErrorMessage="0" allowBlank="0" type="list">
      <formula1>"OK,NEEDS_REVIEW,BLOCKED,ERROR"</formula1>
    </dataValidation>
    <dataValidation sqref="K34" showDropDown="0" showInputMessage="0" showErrorMessage="0" allowBlank="0" type="list">
      <formula1>"采纳,部分采纳,拒绝,待确认"</formula1>
    </dataValidation>
    <dataValidation sqref="J35" showDropDown="0" showInputMessage="0" showErrorMessage="0" allowBlank="0" type="list">
      <formula1>"OK,NEEDS_REVIEW,BLOCKED,ERROR"</formula1>
    </dataValidation>
    <dataValidation sqref="K35" showDropDown="0" showInputMessage="0" showErrorMessage="0" allowBlank="0" type="list">
      <formula1>"采纳,部分采纳,拒绝,待确认"</formula1>
    </dataValidation>
    <dataValidation sqref="J36" showDropDown="0" showInputMessage="0" showErrorMessage="0" allowBlank="0" type="list">
      <formula1>"OK,NEEDS_REVIEW,BLOCKED,ERROR"</formula1>
    </dataValidation>
    <dataValidation sqref="K36" showDropDown="0" showInputMessage="0" showErrorMessage="0" allowBlank="0" type="list">
      <formula1>"采纳,部分采纳,拒绝,待确认"</formula1>
    </dataValidation>
    <dataValidation sqref="J37" showDropDown="0" showInputMessage="0" showErrorMessage="0" allowBlank="0" type="list">
      <formula1>"OK,NEEDS_REVIEW,BLOCKED,ERROR"</formula1>
    </dataValidation>
    <dataValidation sqref="K37" showDropDown="0" showInputMessage="0" showErrorMessage="0" allowBlank="0" type="list">
      <formula1>"采纳,部分采纳,拒绝,待确认"</formula1>
    </dataValidation>
    <dataValidation sqref="J38" showDropDown="0" showInputMessage="0" showErrorMessage="0" allowBlank="0" type="list">
      <formula1>"OK,NEEDS_REVIEW,BLOCKED,ERROR"</formula1>
    </dataValidation>
    <dataValidation sqref="K38" showDropDown="0" showInputMessage="0" showErrorMessage="0" allowBlank="0" type="list">
      <formula1>"采纳,部分采纳,拒绝,待确认"</formula1>
    </dataValidation>
    <dataValidation sqref="J39" showDropDown="0" showInputMessage="0" showErrorMessage="0" allowBlank="0" type="list">
      <formula1>"OK,NEEDS_REVIEW,BLOCKED,ERROR"</formula1>
    </dataValidation>
    <dataValidation sqref="K39" showDropDown="0" showInputMessage="0" showErrorMessage="0" allowBlank="0" type="list">
      <formula1>"采纳,部分采纳,拒绝,待确认"</formula1>
    </dataValidation>
    <dataValidation sqref="J40" showDropDown="0" showInputMessage="0" showErrorMessage="0" allowBlank="0" type="list">
      <formula1>"OK,NEEDS_REVIEW,BLOCKED,ERROR"</formula1>
    </dataValidation>
    <dataValidation sqref="K40" showDropDown="0" showInputMessage="0" showErrorMessage="0" allowBlank="0" type="list">
      <formula1>"采纳,部分采纳,拒绝,待确认"</formula1>
    </dataValidation>
    <dataValidation sqref="J41" showDropDown="0" showInputMessage="0" showErrorMessage="0" allowBlank="0" type="list">
      <formula1>"OK,NEEDS_REVIEW,BLOCKED,ERROR"</formula1>
    </dataValidation>
    <dataValidation sqref="K41" showDropDown="0" showInputMessage="0" showErrorMessage="0" allowBlank="0" type="list">
      <formula1>"采纳,部分采纳,拒绝,待确认"</formula1>
    </dataValidation>
    <dataValidation sqref="J42" showDropDown="0" showInputMessage="0" showErrorMessage="0" allowBlank="0" type="list">
      <formula1>"OK,NEEDS_REVIEW,BLOCKED,ERROR"</formula1>
    </dataValidation>
    <dataValidation sqref="K42" showDropDown="0" showInputMessage="0" showErrorMessage="0" allowBlank="0" type="list">
      <formula1>"采纳,部分采纳,拒绝,待确认"</formula1>
    </dataValidation>
    <dataValidation sqref="J43" showDropDown="0" showInputMessage="0" showErrorMessage="0" allowBlank="0" type="list">
      <formula1>"OK,NEEDS_REVIEW,BLOCKED,ERROR"</formula1>
    </dataValidation>
    <dataValidation sqref="K43" showDropDown="0" showInputMessage="0" showErrorMessage="0" allowBlank="0" type="list">
      <formula1>"采纳,部分采纳,拒绝,待确认"</formula1>
    </dataValidation>
    <dataValidation sqref="J44" showDropDown="0" showInputMessage="0" showErrorMessage="0" allowBlank="0" type="list">
      <formula1>"OK,NEEDS_REVIEW,BLOCKED,ERROR"</formula1>
    </dataValidation>
    <dataValidation sqref="K44" showDropDown="0" showInputMessage="0" showErrorMessage="0" allowBlank="0" type="list">
      <formula1>"采纳,部分采纳,拒绝,待确认"</formula1>
    </dataValidation>
    <dataValidation sqref="J45" showDropDown="0" showInputMessage="0" showErrorMessage="0" allowBlank="0" type="list">
      <formula1>"OK,NEEDS_REVIEW,BLOCKED,ERROR"</formula1>
    </dataValidation>
    <dataValidation sqref="K45" showDropDown="0" showInputMessage="0" showErrorMessage="0" allowBlank="0" type="list">
      <formula1>"采纳,部分采纳,拒绝,待确认"</formula1>
    </dataValidation>
    <dataValidation sqref="J46" showDropDown="0" showInputMessage="0" showErrorMessage="0" allowBlank="0" type="list">
      <formula1>"OK,NEEDS_REVIEW,BLOCKED,ERROR"</formula1>
    </dataValidation>
    <dataValidation sqref="K46" showDropDown="0" showInputMessage="0" showErrorMessage="0" allowBlank="0" type="list">
      <formula1>"采纳,部分采纳,拒绝,待确认"</formula1>
    </dataValidation>
    <dataValidation sqref="J47" showDropDown="0" showInputMessage="0" showErrorMessage="0" allowBlank="0" type="list">
      <formula1>"OK,NEEDS_REVIEW,BLOCKED,ERROR"</formula1>
    </dataValidation>
    <dataValidation sqref="K47" showDropDown="0" showInputMessage="0" showErrorMessage="0" allowBlank="0" type="list">
      <formula1>"采纳,部分采纳,拒绝,待确认"</formula1>
    </dataValidation>
    <dataValidation sqref="J48" showDropDown="0" showInputMessage="0" showErrorMessage="0" allowBlank="0" type="list">
      <formula1>"OK,NEEDS_REVIEW,BLOCKED,ERROR"</formula1>
    </dataValidation>
    <dataValidation sqref="K48" showDropDown="0" showInputMessage="0" showErrorMessage="0" allowBlank="0" type="list">
      <formula1>"采纳,部分采纳,拒绝,待确认"</formula1>
    </dataValidation>
    <dataValidation sqref="J49" showDropDown="0" showInputMessage="0" showErrorMessage="0" allowBlank="0" type="list">
      <formula1>"OK,NEEDS_REVIEW,BLOCKED,ERROR"</formula1>
    </dataValidation>
    <dataValidation sqref="K49" showDropDown="0" showInputMessage="0" showErrorMessage="0" allowBlank="0" type="list">
      <formula1>"采纳,部分采纳,拒绝,待确认"</formula1>
    </dataValidation>
    <dataValidation sqref="J50" showDropDown="0" showInputMessage="0" showErrorMessage="0" allowBlank="0" type="list">
      <formula1>"OK,NEEDS_REVIEW,BLOCKED,ERROR"</formula1>
    </dataValidation>
    <dataValidation sqref="K50" showDropDown="0" showInputMessage="0" showErrorMessage="0" allowBlank="0" type="list">
      <formula1>"采纳,部分采纳,拒绝,待确认"</formula1>
    </dataValidation>
    <dataValidation sqref="J51" showDropDown="0" showInputMessage="0" showErrorMessage="0" allowBlank="0" type="list">
      <formula1>"OK,NEEDS_REVIEW,BLOCKED,ERROR"</formula1>
    </dataValidation>
    <dataValidation sqref="K51" showDropDown="0" showInputMessage="0" showErrorMessage="0" allowBlank="0" type="list">
      <formula1>"采纳,部分采纳,拒绝,待确认"</formula1>
    </dataValidation>
    <dataValidation sqref="J52" showDropDown="0" showInputMessage="0" showErrorMessage="0" allowBlank="0" type="list">
      <formula1>"OK,NEEDS_REVIEW,BLOCKED,ERROR"</formula1>
    </dataValidation>
    <dataValidation sqref="K52" showDropDown="0" showInputMessage="0" showErrorMessage="0" allowBlank="0" type="list">
      <formula1>"采纳,部分采纳,拒绝,待确认"</formula1>
    </dataValidation>
    <dataValidation sqref="J53" showDropDown="0" showInputMessage="0" showErrorMessage="0" allowBlank="0" type="list">
      <formula1>"OK,NEEDS_REVIEW,BLOCKED,ERROR"</formula1>
    </dataValidation>
    <dataValidation sqref="K53" showDropDown="0" showInputMessage="0" showErrorMessage="0" allowBlank="0" type="list">
      <formula1>"采纳,部分采纳,拒绝,待确认"</formula1>
    </dataValidation>
    <dataValidation sqref="J54" showDropDown="0" showInputMessage="0" showErrorMessage="0" allowBlank="0" type="list">
      <formula1>"OK,NEEDS_REVIEW,BLOCKED,ERROR"</formula1>
    </dataValidation>
    <dataValidation sqref="K54" showDropDown="0" showInputMessage="0" showErrorMessage="0" allowBlank="0" type="list">
      <formula1>"采纳,部分采纳,拒绝,待确认"</formula1>
    </dataValidation>
    <dataValidation sqref="J55" showDropDown="0" showInputMessage="0" showErrorMessage="0" allowBlank="0" type="list">
      <formula1>"OK,NEEDS_REVIEW,BLOCKED,ERROR"</formula1>
    </dataValidation>
    <dataValidation sqref="K55" showDropDown="0" showInputMessage="0" showErrorMessage="0" allowBlank="0" type="list">
      <formula1>"采纳,部分采纳,拒绝,待确认"</formula1>
    </dataValidation>
    <dataValidation sqref="J56" showDropDown="0" showInputMessage="0" showErrorMessage="0" allowBlank="0" type="list">
      <formula1>"OK,NEEDS_REVIEW,BLOCKED,ERROR"</formula1>
    </dataValidation>
    <dataValidation sqref="K56" showDropDown="0" showInputMessage="0" showErrorMessage="0" allowBlank="0" type="list">
      <formula1>"采纳,部分采纳,拒绝,待确认"</formula1>
    </dataValidation>
    <dataValidation sqref="J57" showDropDown="0" showInputMessage="0" showErrorMessage="0" allowBlank="0" type="list">
      <formula1>"OK,NEEDS_REVIEW,BLOCKED,ERROR"</formula1>
    </dataValidation>
    <dataValidation sqref="K57" showDropDown="0" showInputMessage="0" showErrorMessage="0" allowBlank="0" type="list">
      <formula1>"采纳,部分采纳,拒绝,待确认"</formula1>
    </dataValidation>
    <dataValidation sqref="J58" showDropDown="0" showInputMessage="0" showErrorMessage="0" allowBlank="0" type="list">
      <formula1>"OK,NEEDS_REVIEW,BLOCKED,ERROR"</formula1>
    </dataValidation>
    <dataValidation sqref="K58" showDropDown="0" showInputMessage="0" showErrorMessage="0" allowBlank="0" type="list">
      <formula1>"采纳,部分采纳,拒绝,待确认"</formula1>
    </dataValidation>
    <dataValidation sqref="J59" showDropDown="0" showInputMessage="0" showErrorMessage="0" allowBlank="0" type="list">
      <formula1>"OK,NEEDS_REVIEW,BLOCKED,ERROR"</formula1>
    </dataValidation>
    <dataValidation sqref="K59" showDropDown="0" showInputMessage="0" showErrorMessage="0" allowBlank="0" type="list">
      <formula1>"采纳,部分采纳,拒绝,待确认"</formula1>
    </dataValidation>
    <dataValidation sqref="J60" showDropDown="0" showInputMessage="0" showErrorMessage="0" allowBlank="0" type="list">
      <formula1>"OK,NEEDS_REVIEW,BLOCKED,ERROR"</formula1>
    </dataValidation>
    <dataValidation sqref="K60" showDropDown="0" showInputMessage="0" showErrorMessage="0" allowBlank="0" type="list">
      <formula1>"采纳,部分采纳,拒绝,待确认"</formula1>
    </dataValidation>
    <dataValidation sqref="J61" showDropDown="0" showInputMessage="0" showErrorMessage="0" allowBlank="0" type="list">
      <formula1>"OK,NEEDS_REVIEW,BLOCKED,ERROR"</formula1>
    </dataValidation>
    <dataValidation sqref="K61" showDropDown="0" showInputMessage="0" showErrorMessage="0" allowBlank="0" type="list">
      <formula1>"采纳,部分采纳,拒绝,待确认"</formula1>
    </dataValidation>
    <dataValidation sqref="J62" showDropDown="0" showInputMessage="0" showErrorMessage="0" allowBlank="0" type="list">
      <formula1>"OK,NEEDS_REVIEW,BLOCKED,ERROR"</formula1>
    </dataValidation>
    <dataValidation sqref="K62" showDropDown="0" showInputMessage="0" showErrorMessage="0" allowBlank="0" type="list">
      <formula1>"采纳,部分采纳,拒绝,待确认"</formula1>
    </dataValidation>
    <dataValidation sqref="J63" showDropDown="0" showInputMessage="0" showErrorMessage="0" allowBlank="0" type="list">
      <formula1>"OK,NEEDS_REVIEW,BLOCKED,ERROR"</formula1>
    </dataValidation>
    <dataValidation sqref="K63" showDropDown="0" showInputMessage="0" showErrorMessage="0" allowBlank="0" type="list">
      <formula1>"采纳,部分采纳,拒绝,待确认"</formula1>
    </dataValidation>
    <dataValidation sqref="J64" showDropDown="0" showInputMessage="0" showErrorMessage="0" allowBlank="0" type="list">
      <formula1>"OK,NEEDS_REVIEW,BLOCKED,ERROR"</formula1>
    </dataValidation>
    <dataValidation sqref="K64" showDropDown="0" showInputMessage="0" showErrorMessage="0" allowBlank="0" type="list">
      <formula1>"采纳,部分采纳,拒绝,待确认"</formula1>
    </dataValidation>
    <dataValidation sqref="J65" showDropDown="0" showInputMessage="0" showErrorMessage="0" allowBlank="0" type="list">
      <formula1>"OK,NEEDS_REVIEW,BLOCKED,ERROR"</formula1>
    </dataValidation>
    <dataValidation sqref="K65" showDropDown="0" showInputMessage="0" showErrorMessage="0" allowBlank="0" type="list">
      <formula1>"采纳,部分采纳,拒绝,待确认"</formula1>
    </dataValidation>
    <dataValidation sqref="J66" showDropDown="0" showInputMessage="0" showErrorMessage="0" allowBlank="0" type="list">
      <formula1>"OK,NEEDS_REVIEW,BLOCKED,ERROR"</formula1>
    </dataValidation>
    <dataValidation sqref="K66" showDropDown="0" showInputMessage="0" showErrorMessage="0" allowBlank="0" type="list">
      <formula1>"采纳,部分采纳,拒绝,待确认"</formula1>
    </dataValidation>
    <dataValidation sqref="J67" showDropDown="0" showInputMessage="0" showErrorMessage="0" allowBlank="0" type="list">
      <formula1>"OK,NEEDS_REVIEW,BLOCKED,ERROR"</formula1>
    </dataValidation>
    <dataValidation sqref="K67" showDropDown="0" showInputMessage="0" showErrorMessage="0" allowBlank="0" type="list">
      <formula1>"采纳,部分采纳,拒绝,待确认"</formula1>
    </dataValidation>
    <dataValidation sqref="J68" showDropDown="0" showInputMessage="0" showErrorMessage="0" allowBlank="0" type="list">
      <formula1>"OK,NEEDS_REVIEW,BLOCKED,ERROR"</formula1>
    </dataValidation>
    <dataValidation sqref="K68" showDropDown="0" showInputMessage="0" showErrorMessage="0" allowBlank="0" type="list">
      <formula1>"采纳,部分采纳,拒绝,待确认"</formula1>
    </dataValidation>
    <dataValidation sqref="J69" showDropDown="0" showInputMessage="0" showErrorMessage="0" allowBlank="0" type="list">
      <formula1>"OK,NEEDS_REVIEW,BLOCKED,ERROR"</formula1>
    </dataValidation>
    <dataValidation sqref="K69" showDropDown="0" showInputMessage="0" showErrorMessage="0" allowBlank="0" type="list">
      <formula1>"采纳,部分采纳,拒绝,待确认"</formula1>
    </dataValidation>
    <dataValidation sqref="J70" showDropDown="0" showInputMessage="0" showErrorMessage="0" allowBlank="0" type="list">
      <formula1>"OK,NEEDS_REVIEW,BLOCKED,ERROR"</formula1>
    </dataValidation>
    <dataValidation sqref="K70" showDropDown="0" showInputMessage="0" showErrorMessage="0" allowBlank="0" type="list">
      <formula1>"采纳,部分采纳,拒绝,待确认"</formula1>
    </dataValidation>
    <dataValidation sqref="J71" showDropDown="0" showInputMessage="0" showErrorMessage="0" allowBlank="0" type="list">
      <formula1>"OK,NEEDS_REVIEW,BLOCKED,ERROR"</formula1>
    </dataValidation>
    <dataValidation sqref="K71" showDropDown="0" showInputMessage="0" showErrorMessage="0" allowBlank="0" type="list">
      <formula1>"采纳,部分采纳,拒绝,待确认"</formula1>
    </dataValidation>
    <dataValidation sqref="J72" showDropDown="0" showInputMessage="0" showErrorMessage="0" allowBlank="0" type="list">
      <formula1>"OK,NEEDS_REVIEW,BLOCKED,ERROR"</formula1>
    </dataValidation>
    <dataValidation sqref="K72" showDropDown="0" showInputMessage="0" showErrorMessage="0" allowBlank="0" type="list">
      <formula1>"采纳,部分采纳,拒绝,待确认"</formula1>
    </dataValidation>
    <dataValidation sqref="J73" showDropDown="0" showInputMessage="0" showErrorMessage="0" allowBlank="0" type="list">
      <formula1>"OK,NEEDS_REVIEW,BLOCKED,ERROR"</formula1>
    </dataValidation>
    <dataValidation sqref="K73" showDropDown="0" showInputMessage="0" showErrorMessage="0" allowBlank="0" type="list">
      <formula1>"采纳,部分采纳,拒绝,待确认"</formula1>
    </dataValidation>
    <dataValidation sqref="J74" showDropDown="0" showInputMessage="0" showErrorMessage="0" allowBlank="0" type="list">
      <formula1>"OK,NEEDS_REVIEW,BLOCKED,ERROR"</formula1>
    </dataValidation>
    <dataValidation sqref="K74" showDropDown="0" showInputMessage="0" showErrorMessage="0" allowBlank="0" type="list">
      <formula1>"采纳,部分采纳,拒绝,待确认"</formula1>
    </dataValidation>
    <dataValidation sqref="J75" showDropDown="0" showInputMessage="0" showErrorMessage="0" allowBlank="0" type="list">
      <formula1>"OK,NEEDS_REVIEW,BLOCKED,ERROR"</formula1>
    </dataValidation>
    <dataValidation sqref="K75" showDropDown="0" showInputMessage="0" showErrorMessage="0" allowBlank="0" type="list">
      <formula1>"采纳,部分采纳,拒绝,待确认"</formula1>
    </dataValidation>
    <dataValidation sqref="J76" showDropDown="0" showInputMessage="0" showErrorMessage="0" allowBlank="0" type="list">
      <formula1>"OK,NEEDS_REVIEW,BLOCKED,ERROR"</formula1>
    </dataValidation>
    <dataValidation sqref="K76" showDropDown="0" showInputMessage="0" showErrorMessage="0" allowBlank="0" type="list">
      <formula1>"采纳,部分采纳,拒绝,待确认"</formula1>
    </dataValidation>
    <dataValidation sqref="J77" showDropDown="0" showInputMessage="0" showErrorMessage="0" allowBlank="0" type="list">
      <formula1>"OK,NEEDS_REVIEW,BLOCKED,ERROR"</formula1>
    </dataValidation>
    <dataValidation sqref="K77" showDropDown="0" showInputMessage="0" showErrorMessage="0" allowBlank="0" type="list">
      <formula1>"采纳,部分采纳,拒绝,待确认"</formula1>
    </dataValidation>
    <dataValidation sqref="J78" showDropDown="0" showInputMessage="0" showErrorMessage="0" allowBlank="0" type="list">
      <formula1>"OK,NEEDS_REVIEW,BLOCKED,ERROR"</formula1>
    </dataValidation>
    <dataValidation sqref="K78" showDropDown="0" showInputMessage="0" showErrorMessage="0" allowBlank="0" type="list">
      <formula1>"采纳,部分采纳,拒绝,待确认"</formula1>
    </dataValidation>
    <dataValidation sqref="J79" showDropDown="0" showInputMessage="0" showErrorMessage="0" allowBlank="0" type="list">
      <formula1>"OK,NEEDS_REVIEW,BLOCKED,ERROR"</formula1>
    </dataValidation>
    <dataValidation sqref="K79" showDropDown="0" showInputMessage="0" showErrorMessage="0" allowBlank="0" type="list">
      <formula1>"采纳,部分采纳,拒绝,待确认"</formula1>
    </dataValidation>
    <dataValidation sqref="J80" showDropDown="0" showInputMessage="0" showErrorMessage="0" allowBlank="0" type="list">
      <formula1>"OK,NEEDS_REVIEW,BLOCKED,ERROR"</formula1>
    </dataValidation>
    <dataValidation sqref="K80" showDropDown="0" showInputMessage="0" showErrorMessage="0" allowBlank="0" type="list">
      <formula1>"采纳,部分采纳,拒绝,待确认"</formula1>
    </dataValidation>
    <dataValidation sqref="J81" showDropDown="0" showInputMessage="0" showErrorMessage="0" allowBlank="0" type="list">
      <formula1>"OK,NEEDS_REVIEW,BLOCKED,ERROR"</formula1>
    </dataValidation>
    <dataValidation sqref="K81" showDropDown="0" showInputMessage="0" showErrorMessage="0" allowBlank="0" type="list">
      <formula1>"采纳,部分采纳,拒绝,待确认"</formula1>
    </dataValidation>
    <dataValidation sqref="J82" showDropDown="0" showInputMessage="0" showErrorMessage="0" allowBlank="0" type="list">
      <formula1>"OK,NEEDS_REVIEW,BLOCKED,ERROR"</formula1>
    </dataValidation>
    <dataValidation sqref="K82" showDropDown="0" showInputMessage="0" showErrorMessage="0" allowBlank="0" type="list">
      <formula1>"采纳,部分采纳,拒绝,待确认"</formula1>
    </dataValidation>
    <dataValidation sqref="J83" showDropDown="0" showInputMessage="0" showErrorMessage="0" allowBlank="0" type="list">
      <formula1>"OK,NEEDS_REVIEW,BLOCKED,ERROR"</formula1>
    </dataValidation>
    <dataValidation sqref="K83" showDropDown="0" showInputMessage="0" showErrorMessage="0" allowBlank="0" type="list">
      <formula1>"采纳,部分采纳,拒绝,待确认"</formula1>
    </dataValidation>
    <dataValidation sqref="J84" showDropDown="0" showInputMessage="0" showErrorMessage="0" allowBlank="0" type="list">
      <formula1>"OK,NEEDS_REVIEW,BLOCKED,ERROR"</formula1>
    </dataValidation>
    <dataValidation sqref="K84" showDropDown="0" showInputMessage="0" showErrorMessage="0" allowBlank="0" type="list">
      <formula1>"采纳,部分采纳,拒绝,待确认"</formula1>
    </dataValidation>
    <dataValidation sqref="J85" showDropDown="0" showInputMessage="0" showErrorMessage="0" allowBlank="0" type="list">
      <formula1>"OK,NEEDS_REVIEW,BLOCKED,ERROR"</formula1>
    </dataValidation>
    <dataValidation sqref="K85" showDropDown="0" showInputMessage="0" showErrorMessage="0" allowBlank="0" type="list">
      <formula1>"采纳,部分采纳,拒绝,待确认"</formula1>
    </dataValidation>
    <dataValidation sqref="J86" showDropDown="0" showInputMessage="0" showErrorMessage="0" allowBlank="0" type="list">
      <formula1>"OK,NEEDS_REVIEW,BLOCKED,ERROR"</formula1>
    </dataValidation>
    <dataValidation sqref="K86" showDropDown="0" showInputMessage="0" showErrorMessage="0" allowBlank="0" type="list">
      <formula1>"采纳,部分采纳,拒绝,待确认"</formula1>
    </dataValidation>
    <dataValidation sqref="J87" showDropDown="0" showInputMessage="0" showErrorMessage="0" allowBlank="0" type="list">
      <formula1>"OK,NEEDS_REVIEW,BLOCKED,ERROR"</formula1>
    </dataValidation>
    <dataValidation sqref="K87" showDropDown="0" showInputMessage="0" showErrorMessage="0" allowBlank="0" type="list">
      <formula1>"采纳,部分采纳,拒绝,待确认"</formula1>
    </dataValidation>
    <dataValidation sqref="J88" showDropDown="0" showInputMessage="0" showErrorMessage="0" allowBlank="0" type="list">
      <formula1>"OK,NEEDS_REVIEW,BLOCKED,ERROR"</formula1>
    </dataValidation>
    <dataValidation sqref="K88" showDropDown="0" showInputMessage="0" showErrorMessage="0" allowBlank="0" type="list">
      <formula1>"采纳,部分采纳,拒绝,待确认"</formula1>
    </dataValidation>
    <dataValidation sqref="J89" showDropDown="0" showInputMessage="0" showErrorMessage="0" allowBlank="0" type="list">
      <formula1>"OK,NEEDS_REVIEW,BLOCKED,ERROR"</formula1>
    </dataValidation>
    <dataValidation sqref="K89" showDropDown="0" showInputMessage="0" showErrorMessage="0" allowBlank="0" type="list">
      <formula1>"采纳,部分采纳,拒绝,待确认"</formula1>
    </dataValidation>
    <dataValidation sqref="J90" showDropDown="0" showInputMessage="0" showErrorMessage="0" allowBlank="0" type="list">
      <formula1>"OK,NEEDS_REVIEW,BLOCKED,ERROR"</formula1>
    </dataValidation>
    <dataValidation sqref="K90" showDropDown="0" showInputMessage="0" showErrorMessage="0" allowBlank="0" type="list">
      <formula1>"采纳,部分采纳,拒绝,待确认"</formula1>
    </dataValidation>
    <dataValidation sqref="J91" showDropDown="0" showInputMessage="0" showErrorMessage="0" allowBlank="0" type="list">
      <formula1>"OK,NEEDS_REVIEW,BLOCKED,ERROR"</formula1>
    </dataValidation>
    <dataValidation sqref="K91" showDropDown="0" showInputMessage="0" showErrorMessage="0" allowBlank="0" type="list">
      <formula1>"采纳,部分采纳,拒绝,待确认"</formula1>
    </dataValidation>
    <dataValidation sqref="J92" showDropDown="0" showInputMessage="0" showErrorMessage="0" allowBlank="0" type="list">
      <formula1>"OK,NEEDS_REVIEW,BLOCKED,ERROR"</formula1>
    </dataValidation>
    <dataValidation sqref="K92" showDropDown="0" showInputMessage="0" showErrorMessage="0" allowBlank="0" type="list">
      <formula1>"采纳,部分采纳,拒绝,待确认"</formula1>
    </dataValidation>
    <dataValidation sqref="J93" showDropDown="0" showInputMessage="0" showErrorMessage="0" allowBlank="0" type="list">
      <formula1>"OK,NEEDS_REVIEW,BLOCKED,ERROR"</formula1>
    </dataValidation>
    <dataValidation sqref="K93" showDropDown="0" showInputMessage="0" showErrorMessage="0" allowBlank="0" type="list">
      <formula1>"采纳,部分采纳,拒绝,待确认"</formula1>
    </dataValidation>
    <dataValidation sqref="J94" showDropDown="0" showInputMessage="0" showErrorMessage="0" allowBlank="0" type="list">
      <formula1>"OK,NEEDS_REVIEW,BLOCKED,ERROR"</formula1>
    </dataValidation>
    <dataValidation sqref="K94" showDropDown="0" showInputMessage="0" showErrorMessage="0" allowBlank="0" type="list">
      <formula1>"采纳,部分采纳,拒绝,待确认"</formula1>
    </dataValidation>
    <dataValidation sqref="J95" showDropDown="0" showInputMessage="0" showErrorMessage="0" allowBlank="0" type="list">
      <formula1>"OK,NEEDS_REVIEW,BLOCKED,ERROR"</formula1>
    </dataValidation>
    <dataValidation sqref="K95" showDropDown="0" showInputMessage="0" showErrorMessage="0" allowBlank="0" type="list">
      <formula1>"采纳,部分采纳,拒绝,待确认"</formula1>
    </dataValidation>
    <dataValidation sqref="J96" showDropDown="0" showInputMessage="0" showErrorMessage="0" allowBlank="0" type="list">
      <formula1>"OK,NEEDS_REVIEW,BLOCKED,ERROR"</formula1>
    </dataValidation>
    <dataValidation sqref="K96" showDropDown="0" showInputMessage="0" showErrorMessage="0" allowBlank="0" type="list">
      <formula1>"采纳,部分采纳,拒绝,待确认"</formula1>
    </dataValidation>
    <dataValidation sqref="J97" showDropDown="0" showInputMessage="0" showErrorMessage="0" allowBlank="0" type="list">
      <formula1>"OK,NEEDS_REVIEW,BLOCKED,ERROR"</formula1>
    </dataValidation>
    <dataValidation sqref="K97" showDropDown="0" showInputMessage="0" showErrorMessage="0" allowBlank="0" type="list">
      <formula1>"采纳,部分采纳,拒绝,待确认"</formula1>
    </dataValidation>
    <dataValidation sqref="J98" showDropDown="0" showInputMessage="0" showErrorMessage="0" allowBlank="0" type="list">
      <formula1>"OK,NEEDS_REVIEW,BLOCKED,ERROR"</formula1>
    </dataValidation>
    <dataValidation sqref="K98" showDropDown="0" showInputMessage="0" showErrorMessage="0" allowBlank="0" type="list">
      <formula1>"采纳,部分采纳,拒绝,待确认"</formula1>
    </dataValidation>
    <dataValidation sqref="J99" showDropDown="0" showInputMessage="0" showErrorMessage="0" allowBlank="0" type="list">
      <formula1>"OK,NEEDS_REVIEW,BLOCKED,ERROR"</formula1>
    </dataValidation>
    <dataValidation sqref="K99" showDropDown="0" showInputMessage="0" showErrorMessage="0" allowBlank="0" type="list">
      <formula1>"采纳,部分采纳,拒绝,待确认"</formula1>
    </dataValidation>
    <dataValidation sqref="J100" showDropDown="0" showInputMessage="0" showErrorMessage="0" allowBlank="0" type="list">
      <formula1>"OK,NEEDS_REVIEW,BLOCKED,ERROR"</formula1>
    </dataValidation>
    <dataValidation sqref="K100" showDropDown="0" showInputMessage="0" showErrorMessage="0" allowBlank="0" type="list">
      <formula1>"采纳,部分采纳,拒绝,待确认"</formula1>
    </dataValidation>
    <dataValidation sqref="J101" showDropDown="0" showInputMessage="0" showErrorMessage="0" allowBlank="0" type="list">
      <formula1>"OK,NEEDS_REVIEW,BLOCKED,ERROR"</formula1>
    </dataValidation>
    <dataValidation sqref="K101" showDropDown="0" showInputMessage="0" showErrorMessage="0" allowBlank="0" type="list">
      <formula1>"采纳,部分采纳,拒绝,待确认"</formula1>
    </dataValidation>
    <dataValidation sqref="J102" showDropDown="0" showInputMessage="0" showErrorMessage="0" allowBlank="0" type="list">
      <formula1>"OK,NEEDS_REVIEW,BLOCKED,ERROR"</formula1>
    </dataValidation>
    <dataValidation sqref="K102" showDropDown="0" showInputMessage="0" showErrorMessage="0" allowBlank="0" type="list">
      <formula1>"采纳,部分采纳,拒绝,待确认"</formula1>
    </dataValidation>
    <dataValidation sqref="J103" showDropDown="0" showInputMessage="0" showErrorMessage="0" allowBlank="0" type="list">
      <formula1>"OK,NEEDS_REVIEW,BLOCKED,ERROR"</formula1>
    </dataValidation>
    <dataValidation sqref="K103" showDropDown="0" showInputMessage="0" showErrorMessage="0" allowBlank="0" type="list">
      <formula1>"采纳,部分采纳,拒绝,待确认"</formula1>
    </dataValidation>
    <dataValidation sqref="J104" showDropDown="0" showInputMessage="0" showErrorMessage="0" allowBlank="0" type="list">
      <formula1>"OK,NEEDS_REVIEW,BLOCKED,ERROR"</formula1>
    </dataValidation>
    <dataValidation sqref="K104" showDropDown="0" showInputMessage="0" showErrorMessage="0" allowBlank="0" type="list">
      <formula1>"采纳,部分采纳,拒绝,待确认"</formula1>
    </dataValidation>
    <dataValidation sqref="J105" showDropDown="0" showInputMessage="0" showErrorMessage="0" allowBlank="0" type="list">
      <formula1>"OK,NEEDS_REVIEW,BLOCKED,ERROR"</formula1>
    </dataValidation>
    <dataValidation sqref="K105" showDropDown="0" showInputMessage="0" showErrorMessage="0" allowBlank="0" type="list">
      <formula1>"采纳,部分采纳,拒绝,待确认"</formula1>
    </dataValidation>
    <dataValidation sqref="J106" showDropDown="0" showInputMessage="0" showErrorMessage="0" allowBlank="0" type="list">
      <formula1>"OK,NEEDS_REVIEW,BLOCKED,ERROR"</formula1>
    </dataValidation>
    <dataValidation sqref="K106" showDropDown="0" showInputMessage="0" showErrorMessage="0" allowBlank="0" type="list">
      <formula1>"采纳,部分采纳,拒绝,待确认"</formula1>
    </dataValidation>
    <dataValidation sqref="J107" showDropDown="0" showInputMessage="0" showErrorMessage="0" allowBlank="0" type="list">
      <formula1>"OK,NEEDS_REVIEW,BLOCKED,ERROR"</formula1>
    </dataValidation>
    <dataValidation sqref="K107" showDropDown="0" showInputMessage="0" showErrorMessage="0" allowBlank="0" type="list">
      <formula1>"采纳,部分采纳,拒绝,待确认"</formula1>
    </dataValidation>
    <dataValidation sqref="J108" showDropDown="0" showInputMessage="0" showErrorMessage="0" allowBlank="0" type="list">
      <formula1>"OK,NEEDS_REVIEW,BLOCKED,ERROR"</formula1>
    </dataValidation>
    <dataValidation sqref="K108" showDropDown="0" showInputMessage="0" showErrorMessage="0" allowBlank="0" type="list">
      <formula1>"采纳,部分采纳,拒绝,待确认"</formula1>
    </dataValidation>
    <dataValidation sqref="J109" showDropDown="0" showInputMessage="0" showErrorMessage="0" allowBlank="0" type="list">
      <formula1>"OK,NEEDS_REVIEW,BLOCKED,ERROR"</formula1>
    </dataValidation>
    <dataValidation sqref="K109" showDropDown="0" showInputMessage="0" showErrorMessage="0" allowBlank="0" type="list">
      <formula1>"采纳,部分采纳,拒绝,待确认"</formula1>
    </dataValidation>
    <dataValidation sqref="J110" showDropDown="0" showInputMessage="0" showErrorMessage="0" allowBlank="0" type="list">
      <formula1>"OK,NEEDS_REVIEW,BLOCKED,ERROR"</formula1>
    </dataValidation>
    <dataValidation sqref="K110" showDropDown="0" showInputMessage="0" showErrorMessage="0" allowBlank="0" type="list">
      <formula1>"采纳,部分采纳,拒绝,待确认"</formula1>
    </dataValidation>
    <dataValidation sqref="J111" showDropDown="0" showInputMessage="0" showErrorMessage="0" allowBlank="0" type="list">
      <formula1>"OK,NEEDS_REVIEW,BLOCKED,ERROR"</formula1>
    </dataValidation>
    <dataValidation sqref="K111" showDropDown="0" showInputMessage="0" showErrorMessage="0" allowBlank="0" type="list">
      <formula1>"采纳,部分采纳,拒绝,待确认"</formula1>
    </dataValidation>
    <dataValidation sqref="J112" showDropDown="0" showInputMessage="0" showErrorMessage="0" allowBlank="0" type="list">
      <formula1>"OK,NEEDS_REVIEW,BLOCKED,ERROR"</formula1>
    </dataValidation>
    <dataValidation sqref="K112" showDropDown="0" showInputMessage="0" showErrorMessage="0" allowBlank="0" type="list">
      <formula1>"采纳,部分采纳,拒绝,待确认"</formula1>
    </dataValidation>
    <dataValidation sqref="J113" showDropDown="0" showInputMessage="0" showErrorMessage="0" allowBlank="0" type="list">
      <formula1>"OK,NEEDS_REVIEW,BLOCKED,ERROR"</formula1>
    </dataValidation>
    <dataValidation sqref="K113" showDropDown="0" showInputMessage="0" showErrorMessage="0" allowBlank="0" type="list">
      <formula1>"采纳,部分采纳,拒绝,待确认"</formula1>
    </dataValidation>
    <dataValidation sqref="J114" showDropDown="0" showInputMessage="0" showErrorMessage="0" allowBlank="0" type="list">
      <formula1>"OK,NEEDS_REVIEW,BLOCKED,ERROR"</formula1>
    </dataValidation>
    <dataValidation sqref="K114" showDropDown="0" showInputMessage="0" showErrorMessage="0" allowBlank="0" type="list">
      <formula1>"采纳,部分采纳,拒绝,待确认"</formula1>
    </dataValidation>
    <dataValidation sqref="J115" showDropDown="0" showInputMessage="0" showErrorMessage="0" allowBlank="0" type="list">
      <formula1>"OK,NEEDS_REVIEW,BLOCKED,ERROR"</formula1>
    </dataValidation>
    <dataValidation sqref="K115" showDropDown="0" showInputMessage="0" showErrorMessage="0" allowBlank="0" type="list">
      <formula1>"采纳,部分采纳,拒绝,待确认"</formula1>
    </dataValidation>
    <dataValidation sqref="J116" showDropDown="0" showInputMessage="0" showErrorMessage="0" allowBlank="0" type="list">
      <formula1>"OK,NEEDS_REVIEW,BLOCKED,ERROR"</formula1>
    </dataValidation>
    <dataValidation sqref="K116" showDropDown="0" showInputMessage="0" showErrorMessage="0" allowBlank="0" type="list">
      <formula1>"采纳,部分采纳,拒绝,待确认"</formula1>
    </dataValidation>
    <dataValidation sqref="J117" showDropDown="0" showInputMessage="0" showErrorMessage="0" allowBlank="0" type="list">
      <formula1>"OK,NEEDS_REVIEW,BLOCKED,ERROR"</formula1>
    </dataValidation>
    <dataValidation sqref="K117" showDropDown="0" showInputMessage="0" showErrorMessage="0" allowBlank="0" type="list">
      <formula1>"采纳,部分采纳,拒绝,待确认"</formula1>
    </dataValidation>
    <dataValidation sqref="J118" showDropDown="0" showInputMessage="0" showErrorMessage="0" allowBlank="0" type="list">
      <formula1>"OK,NEEDS_REVIEW,BLOCKED,ERROR"</formula1>
    </dataValidation>
    <dataValidation sqref="K118" showDropDown="0" showInputMessage="0" showErrorMessage="0" allowBlank="0" type="list">
      <formula1>"采纳,部分采纳,拒绝,待确认"</formula1>
    </dataValidation>
    <dataValidation sqref="J119" showDropDown="0" showInputMessage="0" showErrorMessage="0" allowBlank="0" type="list">
      <formula1>"OK,NEEDS_REVIEW,BLOCKED,ERROR"</formula1>
    </dataValidation>
    <dataValidation sqref="K119" showDropDown="0" showInputMessage="0" showErrorMessage="0" allowBlank="0" type="list">
      <formula1>"采纳,部分采纳,拒绝,待确认"</formula1>
    </dataValidation>
    <dataValidation sqref="J120" showDropDown="0" showInputMessage="0" showErrorMessage="0" allowBlank="0" type="list">
      <formula1>"OK,NEEDS_REVIEW,BLOCKED,ERROR"</formula1>
    </dataValidation>
    <dataValidation sqref="K120" showDropDown="0" showInputMessage="0" showErrorMessage="0" allowBlank="0" type="list">
      <formula1>"采纳,部分采纳,拒绝,待确认"</formula1>
    </dataValidation>
    <dataValidation sqref="J121" showDropDown="0" showInputMessage="0" showErrorMessage="0" allowBlank="0" type="list">
      <formula1>"OK,NEEDS_REVIEW,BLOCKED,ERROR"</formula1>
    </dataValidation>
    <dataValidation sqref="K121" showDropDown="0" showInputMessage="0" showErrorMessage="0" allowBlank="0" type="list">
      <formula1>"采纳,部分采纳,拒绝,待确认"</formula1>
    </dataValidation>
    <dataValidation sqref="J122" showDropDown="0" showInputMessage="0" showErrorMessage="0" allowBlank="0" type="list">
      <formula1>"OK,NEEDS_REVIEW,BLOCKED,ERROR"</formula1>
    </dataValidation>
    <dataValidation sqref="K122" showDropDown="0" showInputMessage="0" showErrorMessage="0" allowBlank="0" type="list">
      <formula1>"采纳,部分采纳,拒绝,待确认"</formula1>
    </dataValidation>
    <dataValidation sqref="J123" showDropDown="0" showInputMessage="0" showErrorMessage="0" allowBlank="0" type="list">
      <formula1>"OK,NEEDS_REVIEW,BLOCKED,ERROR"</formula1>
    </dataValidation>
    <dataValidation sqref="K123" showDropDown="0" showInputMessage="0" showErrorMessage="0" allowBlank="0" type="list">
      <formula1>"采纳,部分采纳,拒绝,待确认"</formula1>
    </dataValidation>
    <dataValidation sqref="J124" showDropDown="0" showInputMessage="0" showErrorMessage="0" allowBlank="0" type="list">
      <formula1>"OK,NEEDS_REVIEW,BLOCKED,ERROR"</formula1>
    </dataValidation>
    <dataValidation sqref="K124" showDropDown="0" showInputMessage="0" showErrorMessage="0" allowBlank="0" type="list">
      <formula1>"采纳,部分采纳,拒绝,待确认"</formula1>
    </dataValidation>
    <dataValidation sqref="J125" showDropDown="0" showInputMessage="0" showErrorMessage="0" allowBlank="0" type="list">
      <formula1>"OK,NEEDS_REVIEW,BLOCKED,ERROR"</formula1>
    </dataValidation>
    <dataValidation sqref="K125" showDropDown="0" showInputMessage="0" showErrorMessage="0" allowBlank="0" type="list">
      <formula1>"采纳,部分采纳,拒绝,待确认"</formula1>
    </dataValidation>
    <dataValidation sqref="J126" showDropDown="0" showInputMessage="0" showErrorMessage="0" allowBlank="0" type="list">
      <formula1>"OK,NEEDS_REVIEW,BLOCKED,ERROR"</formula1>
    </dataValidation>
    <dataValidation sqref="K126" showDropDown="0" showInputMessage="0" showErrorMessage="0" allowBlank="0" type="list">
      <formula1>"采纳,部分采纳,拒绝,待确认"</formula1>
    </dataValidation>
    <dataValidation sqref="J127" showDropDown="0" showInputMessage="0" showErrorMessage="0" allowBlank="0" type="list">
      <formula1>"OK,NEEDS_REVIEW,BLOCKED,ERROR"</formula1>
    </dataValidation>
    <dataValidation sqref="K127" showDropDown="0" showInputMessage="0" showErrorMessage="0" allowBlank="0" type="list">
      <formula1>"采纳,部分采纳,拒绝,待确认"</formula1>
    </dataValidation>
    <dataValidation sqref="J128" showDropDown="0" showInputMessage="0" showErrorMessage="0" allowBlank="0" type="list">
      <formula1>"OK,NEEDS_REVIEW,BLOCKED,ERROR"</formula1>
    </dataValidation>
    <dataValidation sqref="K128" showDropDown="0" showInputMessage="0" showErrorMessage="0" allowBlank="0" type="list">
      <formula1>"采纳,部分采纳,拒绝,待确认"</formula1>
    </dataValidation>
    <dataValidation sqref="J129" showDropDown="0" showInputMessage="0" showErrorMessage="0" allowBlank="0" type="list">
      <formula1>"OK,NEEDS_REVIEW,BLOCKED,ERROR"</formula1>
    </dataValidation>
    <dataValidation sqref="K129" showDropDown="0" showInputMessage="0" showErrorMessage="0" allowBlank="0" type="list">
      <formula1>"采纳,部分采纳,拒绝,待确认"</formula1>
    </dataValidation>
    <dataValidation sqref="J130" showDropDown="0" showInputMessage="0" showErrorMessage="0" allowBlank="0" type="list">
      <formula1>"OK,NEEDS_REVIEW,BLOCKED,ERROR"</formula1>
    </dataValidation>
    <dataValidation sqref="K130" showDropDown="0" showInputMessage="0" showErrorMessage="0" allowBlank="0" type="list">
      <formula1>"采纳,部分采纳,拒绝,待确认"</formula1>
    </dataValidation>
    <dataValidation sqref="J131" showDropDown="0" showInputMessage="0" showErrorMessage="0" allowBlank="0" type="list">
      <formula1>"OK,NEEDS_REVIEW,BLOCKED,ERROR"</formula1>
    </dataValidation>
    <dataValidation sqref="K131" showDropDown="0" showInputMessage="0" showErrorMessage="0" allowBlank="0" type="list">
      <formula1>"采纳,部分采纳,拒绝,待确认"</formula1>
    </dataValidation>
    <dataValidation sqref="J132" showDropDown="0" showInputMessage="0" showErrorMessage="0" allowBlank="0" type="list">
      <formula1>"OK,NEEDS_REVIEW,BLOCKED,ERROR"</formula1>
    </dataValidation>
    <dataValidation sqref="K132" showDropDown="0" showInputMessage="0" showErrorMessage="0" allowBlank="0" type="list">
      <formula1>"采纳,部分采纳,拒绝,待确认"</formula1>
    </dataValidation>
    <dataValidation sqref="J133" showDropDown="0" showInputMessage="0" showErrorMessage="0" allowBlank="0" type="list">
      <formula1>"OK,NEEDS_REVIEW,BLOCKED,ERROR"</formula1>
    </dataValidation>
    <dataValidation sqref="K133" showDropDown="0" showInputMessage="0" showErrorMessage="0" allowBlank="0" type="list">
      <formula1>"采纳,部分采纳,拒绝,待确认"</formula1>
    </dataValidation>
    <dataValidation sqref="J134" showDropDown="0" showInputMessage="0" showErrorMessage="0" allowBlank="0" type="list">
      <formula1>"OK,NEEDS_REVIEW,BLOCKED,ERROR"</formula1>
    </dataValidation>
    <dataValidation sqref="K134" showDropDown="0" showInputMessage="0" showErrorMessage="0" allowBlank="0" type="list">
      <formula1>"采纳,部分采纳,拒绝,待确认"</formula1>
    </dataValidation>
    <dataValidation sqref="J135" showDropDown="0" showInputMessage="0" showErrorMessage="0" allowBlank="0" type="list">
      <formula1>"OK,NEEDS_REVIEW,BLOCKED,ERROR"</formula1>
    </dataValidation>
    <dataValidation sqref="K135" showDropDown="0" showInputMessage="0" showErrorMessage="0" allowBlank="0" type="list">
      <formula1>"采纳,部分采纳,拒绝,待确认"</formula1>
    </dataValidation>
    <dataValidation sqref="J136" showDropDown="0" showInputMessage="0" showErrorMessage="0" allowBlank="0" type="list">
      <formula1>"OK,NEEDS_REVIEW,BLOCKED,ERROR"</formula1>
    </dataValidation>
    <dataValidation sqref="K136" showDropDown="0" showInputMessage="0" showErrorMessage="0" allowBlank="0" type="list">
      <formula1>"采纳,部分采纳,拒绝,待确认"</formula1>
    </dataValidation>
    <dataValidation sqref="J137" showDropDown="0" showInputMessage="0" showErrorMessage="0" allowBlank="0" type="list">
      <formula1>"OK,NEEDS_REVIEW,BLOCKED,ERROR"</formula1>
    </dataValidation>
    <dataValidation sqref="K137" showDropDown="0" showInputMessage="0" showErrorMessage="0" allowBlank="0" type="list">
      <formula1>"采纳,部分采纳,拒绝,待确认"</formula1>
    </dataValidation>
    <dataValidation sqref="J138" showDropDown="0" showInputMessage="0" showErrorMessage="0" allowBlank="0" type="list">
      <formula1>"OK,NEEDS_REVIEW,BLOCKED,ERROR"</formula1>
    </dataValidation>
    <dataValidation sqref="K138" showDropDown="0" showInputMessage="0" showErrorMessage="0" allowBlank="0" type="list">
      <formula1>"采纳,部分采纳,拒绝,待确认"</formula1>
    </dataValidation>
    <dataValidation sqref="J139" showDropDown="0" showInputMessage="0" showErrorMessage="0" allowBlank="0" type="list">
      <formula1>"OK,NEEDS_REVIEW,BLOCKED,ERROR"</formula1>
    </dataValidation>
    <dataValidation sqref="K139" showDropDown="0" showInputMessage="0" showErrorMessage="0" allowBlank="0" type="list">
      <formula1>"采纳,部分采纳,拒绝,待确认"</formula1>
    </dataValidation>
    <dataValidation sqref="J140" showDropDown="0" showInputMessage="0" showErrorMessage="0" allowBlank="0" type="list">
      <formula1>"OK,NEEDS_REVIEW,BLOCKED,ERROR"</formula1>
    </dataValidation>
    <dataValidation sqref="K140" showDropDown="0" showInputMessage="0" showErrorMessage="0" allowBlank="0" type="list">
      <formula1>"采纳,部分采纳,拒绝,待确认"</formula1>
    </dataValidation>
    <dataValidation sqref="J141" showDropDown="0" showInputMessage="0" showErrorMessage="0" allowBlank="0" type="list">
      <formula1>"OK,NEEDS_REVIEW,BLOCKED,ERROR"</formula1>
    </dataValidation>
    <dataValidation sqref="K141" showDropDown="0" showInputMessage="0" showErrorMessage="0" allowBlank="0" type="list">
      <formula1>"采纳,部分采纳,拒绝,待确认"</formula1>
    </dataValidation>
    <dataValidation sqref="J142" showDropDown="0" showInputMessage="0" showErrorMessage="0" allowBlank="0" type="list">
      <formula1>"OK,NEEDS_REVIEW,BLOCKED,ERROR"</formula1>
    </dataValidation>
    <dataValidation sqref="K142" showDropDown="0" showInputMessage="0" showErrorMessage="0" allowBlank="0" type="list">
      <formula1>"采纳,部分采纳,拒绝,待确认"</formula1>
    </dataValidation>
    <dataValidation sqref="J143" showDropDown="0" showInputMessage="0" showErrorMessage="0" allowBlank="0" type="list">
      <formula1>"OK,NEEDS_REVIEW,BLOCKED,ERROR"</formula1>
    </dataValidation>
    <dataValidation sqref="K143" showDropDown="0" showInputMessage="0" showErrorMessage="0" allowBlank="0" type="list">
      <formula1>"采纳,部分采纳,拒绝,待确认"</formula1>
    </dataValidation>
    <dataValidation sqref="J144" showDropDown="0" showInputMessage="0" showErrorMessage="0" allowBlank="0" type="list">
      <formula1>"OK,NEEDS_REVIEW,BLOCKED,ERROR"</formula1>
    </dataValidation>
    <dataValidation sqref="K144" showDropDown="0" showInputMessage="0" showErrorMessage="0" allowBlank="0" type="list">
      <formula1>"采纳,部分采纳,拒绝,待确认"</formula1>
    </dataValidation>
    <dataValidation sqref="J145" showDropDown="0" showInputMessage="0" showErrorMessage="0" allowBlank="0" type="list">
      <formula1>"OK,NEEDS_REVIEW,BLOCKED,ERROR"</formula1>
    </dataValidation>
    <dataValidation sqref="K145" showDropDown="0" showInputMessage="0" showErrorMessage="0" allowBlank="0" type="list">
      <formula1>"采纳,部分采纳,拒绝,待确认"</formula1>
    </dataValidation>
    <dataValidation sqref="J146" showDropDown="0" showInputMessage="0" showErrorMessage="0" allowBlank="0" type="list">
      <formula1>"OK,NEEDS_REVIEW,BLOCKED,ERROR"</formula1>
    </dataValidation>
    <dataValidation sqref="K146" showDropDown="0" showInputMessage="0" showErrorMessage="0" allowBlank="0" type="list">
      <formula1>"采纳,部分采纳,拒绝,待确认"</formula1>
    </dataValidation>
    <dataValidation sqref="J147" showDropDown="0" showInputMessage="0" showErrorMessage="0" allowBlank="0" type="list">
      <formula1>"OK,NEEDS_REVIEW,BLOCKED,ERROR"</formula1>
    </dataValidation>
    <dataValidation sqref="K147" showDropDown="0" showInputMessage="0" showErrorMessage="0" allowBlank="0" type="list">
      <formula1>"采纳,部分采纳,拒绝,待确认"</formula1>
    </dataValidation>
    <dataValidation sqref="J148" showDropDown="0" showInputMessage="0" showErrorMessage="0" allowBlank="0" type="list">
      <formula1>"OK,NEEDS_REVIEW,BLOCKED,ERROR"</formula1>
    </dataValidation>
    <dataValidation sqref="K148" showDropDown="0" showInputMessage="0" showErrorMessage="0" allowBlank="0" type="list">
      <formula1>"采纳,部分采纳,拒绝,待确认"</formula1>
    </dataValidation>
    <dataValidation sqref="J149" showDropDown="0" showInputMessage="0" showErrorMessage="0" allowBlank="0" type="list">
      <formula1>"OK,NEEDS_REVIEW,BLOCKED,ERROR"</formula1>
    </dataValidation>
    <dataValidation sqref="K149" showDropDown="0" showInputMessage="0" showErrorMessage="0" allowBlank="0" type="list">
      <formula1>"采纳,部分采纳,拒绝,待确认"</formula1>
    </dataValidation>
    <dataValidation sqref="J150" showDropDown="0" showInputMessage="0" showErrorMessage="0" allowBlank="0" type="list">
      <formula1>"OK,NEEDS_REVIEW,BLOCKED,ERROR"</formula1>
    </dataValidation>
    <dataValidation sqref="K150" showDropDown="0" showInputMessage="0" showErrorMessage="0" allowBlank="0" type="list">
      <formula1>"采纳,部分采纳,拒绝,待确认"</formula1>
    </dataValidation>
    <dataValidation sqref="J151" showDropDown="0" showInputMessage="0" showErrorMessage="0" allowBlank="0" type="list">
      <formula1>"OK,NEEDS_REVIEW,BLOCKED,ERROR"</formula1>
    </dataValidation>
    <dataValidation sqref="K151" showDropDown="0" showInputMessage="0" showErrorMessage="0" allowBlank="0" type="list">
      <formula1>"采纳,部分采纳,拒绝,待确认"</formula1>
    </dataValidation>
    <dataValidation sqref="J152" showDropDown="0" showInputMessage="0" showErrorMessage="0" allowBlank="0" type="list">
      <formula1>"OK,NEEDS_REVIEW,BLOCKED,ERROR"</formula1>
    </dataValidation>
    <dataValidation sqref="K152" showDropDown="0" showInputMessage="0" showErrorMessage="0" allowBlank="0" type="list">
      <formula1>"采纳,部分采纳,拒绝,待确认"</formula1>
    </dataValidation>
    <dataValidation sqref="J153" showDropDown="0" showInputMessage="0" showErrorMessage="0" allowBlank="0" type="list">
      <formula1>"OK,NEEDS_REVIEW,BLOCKED,ERROR"</formula1>
    </dataValidation>
    <dataValidation sqref="K153" showDropDown="0" showInputMessage="0" showErrorMessage="0" allowBlank="0" type="list">
      <formula1>"采纳,部分采纳,拒绝,待确认"</formula1>
    </dataValidation>
    <dataValidation sqref="J154" showDropDown="0" showInputMessage="0" showErrorMessage="0" allowBlank="0" type="list">
      <formula1>"OK,NEEDS_REVIEW,BLOCKED,ERROR"</formula1>
    </dataValidation>
    <dataValidation sqref="K154" showDropDown="0" showInputMessage="0" showErrorMessage="0" allowBlank="0" type="list">
      <formula1>"采纳,部分采纳,拒绝,待确认"</formula1>
    </dataValidation>
    <dataValidation sqref="J155" showDropDown="0" showInputMessage="0" showErrorMessage="0" allowBlank="0" type="list">
      <formula1>"OK,NEEDS_REVIEW,BLOCKED,ERROR"</formula1>
    </dataValidation>
    <dataValidation sqref="K155" showDropDown="0" showInputMessage="0" showErrorMessage="0" allowBlank="0" type="list">
      <formula1>"采纳,部分采纳,拒绝,待确认"</formula1>
    </dataValidation>
    <dataValidation sqref="J156" showDropDown="0" showInputMessage="0" showErrorMessage="0" allowBlank="0" type="list">
      <formula1>"OK,NEEDS_REVIEW,BLOCKED,ERROR"</formula1>
    </dataValidation>
    <dataValidation sqref="K156" showDropDown="0" showInputMessage="0" showErrorMessage="0" allowBlank="0" type="list">
      <formula1>"采纳,部分采纳,拒绝,待确认"</formula1>
    </dataValidation>
    <dataValidation sqref="J157" showDropDown="0" showInputMessage="0" showErrorMessage="0" allowBlank="0" type="list">
      <formula1>"OK,NEEDS_REVIEW,BLOCKED,ERROR"</formula1>
    </dataValidation>
    <dataValidation sqref="K157" showDropDown="0" showInputMessage="0" showErrorMessage="0" allowBlank="0" type="list">
      <formula1>"采纳,部分采纳,拒绝,待确认"</formula1>
    </dataValidation>
    <dataValidation sqref="J158" showDropDown="0" showInputMessage="0" showErrorMessage="0" allowBlank="0" type="list">
      <formula1>"OK,NEEDS_REVIEW,BLOCKED,ERROR"</formula1>
    </dataValidation>
    <dataValidation sqref="K158" showDropDown="0" showInputMessage="0" showErrorMessage="0" allowBlank="0" type="list">
      <formula1>"采纳,部分采纳,拒绝,待确认"</formula1>
    </dataValidation>
    <dataValidation sqref="J159" showDropDown="0" showInputMessage="0" showErrorMessage="0" allowBlank="0" type="list">
      <formula1>"OK,NEEDS_REVIEW,BLOCKED,ERROR"</formula1>
    </dataValidation>
    <dataValidation sqref="K159" showDropDown="0" showInputMessage="0" showErrorMessage="0" allowBlank="0" type="list">
      <formula1>"采纳,部分采纳,拒绝,待确认"</formula1>
    </dataValidation>
    <dataValidation sqref="J160" showDropDown="0" showInputMessage="0" showErrorMessage="0" allowBlank="0" type="list">
      <formula1>"OK,NEEDS_REVIEW,BLOCKED,ERROR"</formula1>
    </dataValidation>
    <dataValidation sqref="K160" showDropDown="0" showInputMessage="0" showErrorMessage="0" allowBlank="0" type="list">
      <formula1>"采纳,部分采纳,拒绝,待确认"</formula1>
    </dataValidation>
    <dataValidation sqref="J161" showDropDown="0" showInputMessage="0" showErrorMessage="0" allowBlank="0" type="list">
      <formula1>"OK,NEEDS_REVIEW,BLOCKED,ERROR"</formula1>
    </dataValidation>
    <dataValidation sqref="K161" showDropDown="0" showInputMessage="0" showErrorMessage="0" allowBlank="0" type="list">
      <formula1>"采纳,部分采纳,拒绝,待确认"</formula1>
    </dataValidation>
    <dataValidation sqref="J162" showDropDown="0" showInputMessage="0" showErrorMessage="0" allowBlank="0" type="list">
      <formula1>"OK,NEEDS_REVIEW,BLOCKED,ERROR"</formula1>
    </dataValidation>
    <dataValidation sqref="K162" showDropDown="0" showInputMessage="0" showErrorMessage="0" allowBlank="0" type="list">
      <formula1>"采纳,部分采纳,拒绝,待确认"</formula1>
    </dataValidation>
    <dataValidation sqref="J163" showDropDown="0" showInputMessage="0" showErrorMessage="0" allowBlank="0" type="list">
      <formula1>"OK,NEEDS_REVIEW,BLOCKED,ERROR"</formula1>
    </dataValidation>
    <dataValidation sqref="K163" showDropDown="0" showInputMessage="0" showErrorMessage="0" allowBlank="0" type="list">
      <formula1>"采纳,部分采纳,拒绝,待确认"</formula1>
    </dataValidation>
    <dataValidation sqref="J164" showDropDown="0" showInputMessage="0" showErrorMessage="0" allowBlank="0" type="list">
      <formula1>"OK,NEEDS_REVIEW,BLOCKED,ERROR"</formula1>
    </dataValidation>
    <dataValidation sqref="K164" showDropDown="0" showInputMessage="0" showErrorMessage="0" allowBlank="0" type="list">
      <formula1>"采纳,部分采纳,拒绝,待确认"</formula1>
    </dataValidation>
    <dataValidation sqref="J165" showDropDown="0" showInputMessage="0" showErrorMessage="0" allowBlank="0" type="list">
      <formula1>"OK,NEEDS_REVIEW,BLOCKED,ERROR"</formula1>
    </dataValidation>
    <dataValidation sqref="K165" showDropDown="0" showInputMessage="0" showErrorMessage="0" allowBlank="0" type="list">
      <formula1>"采纳,部分采纳,拒绝,待确认"</formula1>
    </dataValidation>
    <dataValidation sqref="J166" showDropDown="0" showInputMessage="0" showErrorMessage="0" allowBlank="0" type="list">
      <formula1>"OK,NEEDS_REVIEW,BLOCKED,ERROR"</formula1>
    </dataValidation>
    <dataValidation sqref="K166" showDropDown="0" showInputMessage="0" showErrorMessage="0" allowBlank="0" type="list">
      <formula1>"采纳,部分采纳,拒绝,待确认"</formula1>
    </dataValidation>
    <dataValidation sqref="J167" showDropDown="0" showInputMessage="0" showErrorMessage="0" allowBlank="0" type="list">
      <formula1>"OK,NEEDS_REVIEW,BLOCKED,ERROR"</formula1>
    </dataValidation>
    <dataValidation sqref="K167" showDropDown="0" showInputMessage="0" showErrorMessage="0" allowBlank="0" type="list">
      <formula1>"采纳,部分采纳,拒绝,待确认"</formula1>
    </dataValidation>
    <dataValidation sqref="J168" showDropDown="0" showInputMessage="0" showErrorMessage="0" allowBlank="0" type="list">
      <formula1>"OK,NEEDS_REVIEW,BLOCKED,ERROR"</formula1>
    </dataValidation>
    <dataValidation sqref="K168" showDropDown="0" showInputMessage="0" showErrorMessage="0" allowBlank="0" type="list">
      <formula1>"采纳,部分采纳,拒绝,待确认"</formula1>
    </dataValidation>
    <dataValidation sqref="J169" showDropDown="0" showInputMessage="0" showErrorMessage="0" allowBlank="0" type="list">
      <formula1>"OK,NEEDS_REVIEW,BLOCKED,ERROR"</formula1>
    </dataValidation>
    <dataValidation sqref="K169" showDropDown="0" showInputMessage="0" showErrorMessage="0" allowBlank="0" type="list">
      <formula1>"采纳,部分采纳,拒绝,待确认"</formula1>
    </dataValidation>
    <dataValidation sqref="J170" showDropDown="0" showInputMessage="0" showErrorMessage="0" allowBlank="0" type="list">
      <formula1>"OK,NEEDS_REVIEW,BLOCKED,ERROR"</formula1>
    </dataValidation>
    <dataValidation sqref="K170" showDropDown="0" showInputMessage="0" showErrorMessage="0" allowBlank="0" type="list">
      <formula1>"采纳,部分采纳,拒绝,待确认"</formula1>
    </dataValidation>
    <dataValidation sqref="J171" showDropDown="0" showInputMessage="0" showErrorMessage="0" allowBlank="0" type="list">
      <formula1>"OK,NEEDS_REVIEW,BLOCKED,ERROR"</formula1>
    </dataValidation>
    <dataValidation sqref="K171" showDropDown="0" showInputMessage="0" showErrorMessage="0" allowBlank="0" type="list">
      <formula1>"采纳,部分采纳,拒绝,待确认"</formula1>
    </dataValidation>
    <dataValidation sqref="J172" showDropDown="0" showInputMessage="0" showErrorMessage="0" allowBlank="0" type="list">
      <formula1>"OK,NEEDS_REVIEW,BLOCKED,ERROR"</formula1>
    </dataValidation>
    <dataValidation sqref="K172" showDropDown="0" showInputMessage="0" showErrorMessage="0" allowBlank="0" type="list">
      <formula1>"采纳,部分采纳,拒绝,待确认"</formula1>
    </dataValidation>
    <dataValidation sqref="J173" showDropDown="0" showInputMessage="0" showErrorMessage="0" allowBlank="0" type="list">
      <formula1>"OK,NEEDS_REVIEW,BLOCKED,ERROR"</formula1>
    </dataValidation>
    <dataValidation sqref="K173" showDropDown="0" showInputMessage="0" showErrorMessage="0" allowBlank="0" type="list">
      <formula1>"采纳,部分采纳,拒绝,待确认"</formula1>
    </dataValidation>
    <dataValidation sqref="J174" showDropDown="0" showInputMessage="0" showErrorMessage="0" allowBlank="0" type="list">
      <formula1>"OK,NEEDS_REVIEW,BLOCKED,ERROR"</formula1>
    </dataValidation>
    <dataValidation sqref="K174" showDropDown="0" showInputMessage="0" showErrorMessage="0" allowBlank="0" type="list">
      <formula1>"采纳,部分采纳,拒绝,待确认"</formula1>
    </dataValidation>
    <dataValidation sqref="J175" showDropDown="0" showInputMessage="0" showErrorMessage="0" allowBlank="0" type="list">
      <formula1>"OK,NEEDS_REVIEW,BLOCKED,ERROR"</formula1>
    </dataValidation>
    <dataValidation sqref="K175" showDropDown="0" showInputMessage="0" showErrorMessage="0" allowBlank="0" type="list">
      <formula1>"采纳,部分采纳,拒绝,待确认"</formula1>
    </dataValidation>
    <dataValidation sqref="J176" showDropDown="0" showInputMessage="0" showErrorMessage="0" allowBlank="0" type="list">
      <formula1>"OK,NEEDS_REVIEW,BLOCKED,ERROR"</formula1>
    </dataValidation>
    <dataValidation sqref="K176" showDropDown="0" showInputMessage="0" showErrorMessage="0" allowBlank="0" type="list">
      <formula1>"采纳,部分采纳,拒绝,待确认"</formula1>
    </dataValidation>
    <dataValidation sqref="J177" showDropDown="0" showInputMessage="0" showErrorMessage="0" allowBlank="0" type="list">
      <formula1>"OK,NEEDS_REVIEW,BLOCKED,ERROR"</formula1>
    </dataValidation>
    <dataValidation sqref="K177" showDropDown="0" showInputMessage="0" showErrorMessage="0" allowBlank="0" type="list">
      <formula1>"采纳,部分采纳,拒绝,待确认"</formula1>
    </dataValidation>
    <dataValidation sqref="J178" showDropDown="0" showInputMessage="0" showErrorMessage="0" allowBlank="0" type="list">
      <formula1>"OK,NEEDS_REVIEW,BLOCKED,ERROR"</formula1>
    </dataValidation>
    <dataValidation sqref="K178" showDropDown="0" showInputMessage="0" showErrorMessage="0" allowBlank="0" type="list">
      <formula1>"采纳,部分采纳,拒绝,待确认"</formula1>
    </dataValidation>
    <dataValidation sqref="J179" showDropDown="0" showInputMessage="0" showErrorMessage="0" allowBlank="0" type="list">
      <formula1>"OK,NEEDS_REVIEW,BLOCKED,ERROR"</formula1>
    </dataValidation>
    <dataValidation sqref="K179" showDropDown="0" showInputMessage="0" showErrorMessage="0" allowBlank="0" type="list">
      <formula1>"采纳,部分采纳,拒绝,待确认"</formula1>
    </dataValidation>
    <dataValidation sqref="J180" showDropDown="0" showInputMessage="0" showErrorMessage="0" allowBlank="0" type="list">
      <formula1>"OK,NEEDS_REVIEW,BLOCKED,ERROR"</formula1>
    </dataValidation>
    <dataValidation sqref="K180" showDropDown="0" showInputMessage="0" showErrorMessage="0" allowBlank="0" type="list">
      <formula1>"采纳,部分采纳,拒绝,待确认"</formula1>
    </dataValidation>
    <dataValidation sqref="J181" showDropDown="0" showInputMessage="0" showErrorMessage="0" allowBlank="0" type="list">
      <formula1>"OK,NEEDS_REVIEW,BLOCKED,ERROR"</formula1>
    </dataValidation>
    <dataValidation sqref="K181" showDropDown="0" showInputMessage="0" showErrorMessage="0" allowBlank="0" type="list">
      <formula1>"采纳,部分采纳,拒绝,待确认"</formula1>
    </dataValidation>
    <dataValidation sqref="J182" showDropDown="0" showInputMessage="0" showErrorMessage="0" allowBlank="0" type="list">
      <formula1>"OK,NEEDS_REVIEW,BLOCKED,ERROR"</formula1>
    </dataValidation>
    <dataValidation sqref="K182" showDropDown="0" showInputMessage="0" showErrorMessage="0" allowBlank="0" type="list">
      <formula1>"采纳,部分采纳,拒绝,待确认"</formula1>
    </dataValidation>
    <dataValidation sqref="J183" showDropDown="0" showInputMessage="0" showErrorMessage="0" allowBlank="0" type="list">
      <formula1>"OK,NEEDS_REVIEW,BLOCKED,ERROR"</formula1>
    </dataValidation>
    <dataValidation sqref="K183" showDropDown="0" showInputMessage="0" showErrorMessage="0" allowBlank="0" type="list">
      <formula1>"采纳,部分采纳,拒绝,待确认"</formula1>
    </dataValidation>
    <dataValidation sqref="J184" showDropDown="0" showInputMessage="0" showErrorMessage="0" allowBlank="0" type="list">
      <formula1>"OK,NEEDS_REVIEW,BLOCKED,ERROR"</formula1>
    </dataValidation>
    <dataValidation sqref="K184" showDropDown="0" showInputMessage="0" showErrorMessage="0" allowBlank="0" type="list">
      <formula1>"采纳,部分采纳,拒绝,待确认"</formula1>
    </dataValidation>
    <dataValidation sqref="J185" showDropDown="0" showInputMessage="0" showErrorMessage="0" allowBlank="0" type="list">
      <formula1>"OK,NEEDS_REVIEW,BLOCKED,ERROR"</formula1>
    </dataValidation>
    <dataValidation sqref="K185" showDropDown="0" showInputMessage="0" showErrorMessage="0" allowBlank="0" type="list">
      <formula1>"采纳,部分采纳,拒绝,待确认"</formula1>
    </dataValidation>
    <dataValidation sqref="J186" showDropDown="0" showInputMessage="0" showErrorMessage="0" allowBlank="0" type="list">
      <formula1>"OK,NEEDS_REVIEW,BLOCKED,ERROR"</formula1>
    </dataValidation>
    <dataValidation sqref="K186" showDropDown="0" showInputMessage="0" showErrorMessage="0" allowBlank="0" type="list">
      <formula1>"采纳,部分采纳,拒绝,待确认"</formula1>
    </dataValidation>
    <dataValidation sqref="J187" showDropDown="0" showInputMessage="0" showErrorMessage="0" allowBlank="0" type="list">
      <formula1>"OK,NEEDS_REVIEW,BLOCKED,ERROR"</formula1>
    </dataValidation>
    <dataValidation sqref="K187" showDropDown="0" showInputMessage="0" showErrorMessage="0" allowBlank="0" type="list">
      <formula1>"采纳,部分采纳,拒绝,待确认"</formula1>
    </dataValidation>
    <dataValidation sqref="J188" showDropDown="0" showInputMessage="0" showErrorMessage="0" allowBlank="0" type="list">
      <formula1>"OK,NEEDS_REVIEW,BLOCKED,ERROR"</formula1>
    </dataValidation>
    <dataValidation sqref="K188" showDropDown="0" showInputMessage="0" showErrorMessage="0" allowBlank="0" type="list">
      <formula1>"采纳,部分采纳,拒绝,待确认"</formula1>
    </dataValidation>
    <dataValidation sqref="J189" showDropDown="0" showInputMessage="0" showErrorMessage="0" allowBlank="0" type="list">
      <formula1>"OK,NEEDS_REVIEW,BLOCKED,ERROR"</formula1>
    </dataValidation>
    <dataValidation sqref="K189" showDropDown="0" showInputMessage="0" showErrorMessage="0" allowBlank="0" type="list">
      <formula1>"采纳,部分采纳,拒绝,待确认"</formula1>
    </dataValidation>
    <dataValidation sqref="J190" showDropDown="0" showInputMessage="0" showErrorMessage="0" allowBlank="0" type="list">
      <formula1>"OK,NEEDS_REVIEW,BLOCKED,ERROR"</formula1>
    </dataValidation>
    <dataValidation sqref="K190" showDropDown="0" showInputMessage="0" showErrorMessage="0" allowBlank="0" type="list">
      <formula1>"采纳,部分采纳,拒绝,待确认"</formula1>
    </dataValidation>
    <dataValidation sqref="J191" showDropDown="0" showInputMessage="0" showErrorMessage="0" allowBlank="0" type="list">
      <formula1>"OK,NEEDS_REVIEW,BLOCKED,ERROR"</formula1>
    </dataValidation>
    <dataValidation sqref="K191" showDropDown="0" showInputMessage="0" showErrorMessage="0" allowBlank="0" type="list">
      <formula1>"采纳,部分采纳,拒绝,待确认"</formula1>
    </dataValidation>
    <dataValidation sqref="J192" showDropDown="0" showInputMessage="0" showErrorMessage="0" allowBlank="0" type="list">
      <formula1>"OK,NEEDS_REVIEW,BLOCKED,ERROR"</formula1>
    </dataValidation>
    <dataValidation sqref="K192" showDropDown="0" showInputMessage="0" showErrorMessage="0" allowBlank="0" type="list">
      <formula1>"采纳,部分采纳,拒绝,待确认"</formula1>
    </dataValidation>
    <dataValidation sqref="J193" showDropDown="0" showInputMessage="0" showErrorMessage="0" allowBlank="0" type="list">
      <formula1>"OK,NEEDS_REVIEW,BLOCKED,ERROR"</formula1>
    </dataValidation>
    <dataValidation sqref="K193" showDropDown="0" showInputMessage="0" showErrorMessage="0" allowBlank="0" type="list">
      <formula1>"采纳,部分采纳,拒绝,待确认"</formula1>
    </dataValidation>
    <dataValidation sqref="J194" showDropDown="0" showInputMessage="0" showErrorMessage="0" allowBlank="0" type="list">
      <formula1>"OK,NEEDS_REVIEW,BLOCKED,ERROR"</formula1>
    </dataValidation>
    <dataValidation sqref="K194" showDropDown="0" showInputMessage="0" showErrorMessage="0" allowBlank="0" type="list">
      <formula1>"采纳,部分采纳,拒绝,待确认"</formula1>
    </dataValidation>
    <dataValidation sqref="J195" showDropDown="0" showInputMessage="0" showErrorMessage="0" allowBlank="0" type="list">
      <formula1>"OK,NEEDS_REVIEW,BLOCKED,ERROR"</formula1>
    </dataValidation>
    <dataValidation sqref="K195" showDropDown="0" showInputMessage="0" showErrorMessage="0" allowBlank="0" type="list">
      <formula1>"采纳,部分采纳,拒绝,待确认"</formula1>
    </dataValidation>
    <dataValidation sqref="J196" showDropDown="0" showInputMessage="0" showErrorMessage="0" allowBlank="0" type="list">
      <formula1>"OK,NEEDS_REVIEW,BLOCKED,ERROR"</formula1>
    </dataValidation>
    <dataValidation sqref="K196" showDropDown="0" showInputMessage="0" showErrorMessage="0" allowBlank="0" type="list">
      <formula1>"采纳,部分采纳,拒绝,待确认"</formula1>
    </dataValidation>
    <dataValidation sqref="J197" showDropDown="0" showInputMessage="0" showErrorMessage="0" allowBlank="0" type="list">
      <formula1>"OK,NEEDS_REVIEW,BLOCKED,ERROR"</formula1>
    </dataValidation>
    <dataValidation sqref="K197" showDropDown="0" showInputMessage="0" showErrorMessage="0" allowBlank="0" type="list">
      <formula1>"采纳,部分采纳,拒绝,待确认"</formula1>
    </dataValidation>
    <dataValidation sqref="J198" showDropDown="0" showInputMessage="0" showErrorMessage="0" allowBlank="0" type="list">
      <formula1>"OK,NEEDS_REVIEW,BLOCKED,ERROR"</formula1>
    </dataValidation>
    <dataValidation sqref="K198" showDropDown="0" showInputMessage="0" showErrorMessage="0" allowBlank="0" type="list">
      <formula1>"采纳,部分采纳,拒绝,待确认"</formula1>
    </dataValidation>
    <dataValidation sqref="J199" showDropDown="0" showInputMessage="0" showErrorMessage="0" allowBlank="0" type="list">
      <formula1>"OK,NEEDS_REVIEW,BLOCKED,ERROR"</formula1>
    </dataValidation>
    <dataValidation sqref="K199" showDropDown="0" showInputMessage="0" showErrorMessage="0" allowBlank="0" type="list">
      <formula1>"采纳,部分采纳,拒绝,待确认"</formula1>
    </dataValidation>
    <dataValidation sqref="J200" showDropDown="0" showInputMessage="0" showErrorMessage="0" allowBlank="0" type="list">
      <formula1>"OK,NEEDS_REVIEW,BLOCKED,ERROR"</formula1>
    </dataValidation>
    <dataValidation sqref="K200" showDropDown="0" showInputMessage="0" showErrorMessage="0" allowBlank="0" type="list">
      <formula1>"采纳,部分采纳,拒绝,待确认"</formula1>
    </dataValidation>
    <dataValidation sqref="J201" showDropDown="0" showInputMessage="0" showErrorMessage="0" allowBlank="0" type="list">
      <formula1>"OK,NEEDS_REVIEW,BLOCKED,ERROR"</formula1>
    </dataValidation>
    <dataValidation sqref="K201" showDropDown="0" showInputMessage="0" showErrorMessage="0" allowBlank="0" type="list">
      <formula1>"采纳,部分采纳,拒绝,待确认"</formula1>
    </dataValidation>
    <dataValidation sqref="J202" showDropDown="0" showInputMessage="0" showErrorMessage="0" allowBlank="0" type="list">
      <formula1>"OK,NEEDS_REVIEW,BLOCKED,ERROR"</formula1>
    </dataValidation>
    <dataValidation sqref="K202" showDropDown="0" showInputMessage="0" showErrorMessage="0" allowBlank="0" type="list">
      <formula1>"采纳,部分采纳,拒绝,待确认"</formula1>
    </dataValidation>
    <dataValidation sqref="J203" showDropDown="0" showInputMessage="0" showErrorMessage="0" allowBlank="0" type="list">
      <formula1>"OK,NEEDS_REVIEW,BLOCKED,ERROR"</formula1>
    </dataValidation>
    <dataValidation sqref="K203" showDropDown="0" showInputMessage="0" showErrorMessage="0" allowBlank="0" type="list">
      <formula1>"采纳,部分采纳,拒绝,待确认"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7" customWidth="1" min="4" max="4"/>
    <col width="20" customWidth="1" min="5" max="5"/>
    <col width="20" customWidth="1" min="6" max="6"/>
    <col width="24" customWidth="1" min="7" max="7"/>
    <col width="18" customWidth="1" min="8" max="8"/>
    <col width="30" customWidth="1" min="9" max="9"/>
    <col width="28" customWidth="1" min="10" max="10"/>
    <col width="14" customWidth="1" min="11" max="11"/>
    <col width="20" customWidth="1" min="12" max="12"/>
  </cols>
  <sheetData>
    <row r="1" ht="28" customHeight="1">
      <c r="A1" s="9" t="inlineStr">
        <is>
          <t>Data v4.1 Dashboard｜Closure完成度 + 动态缺口 + Release事实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3">
      <c r="A3" s="13" t="inlineStr">
        <is>
          <t>KPI</t>
        </is>
      </c>
      <c r="B3" s="13" t="inlineStr">
        <is>
          <t>值</t>
        </is>
      </c>
      <c r="D3" s="13" t="inlineStr">
        <is>
          <t>判定</t>
        </is>
      </c>
      <c r="E3" s="13" t="inlineStr">
        <is>
          <t>绿线</t>
        </is>
      </c>
      <c r="F3" s="13" t="inlineStr">
        <is>
          <t>黄线</t>
        </is>
      </c>
      <c r="G3" s="13" t="inlineStr">
        <is>
          <t>红线</t>
        </is>
      </c>
      <c r="H3" s="13" t="inlineStr">
        <is>
          <t>当前</t>
        </is>
      </c>
      <c r="I3" s="13" t="inlineStr">
        <is>
          <t>含义</t>
        </is>
      </c>
      <c r="J3" s="13" t="inlineStr">
        <is>
          <t>下一步</t>
        </is>
      </c>
      <c r="K3" s="13" t="inlineStr">
        <is>
          <t>Owner</t>
        </is>
      </c>
      <c r="L3" s="13" t="inlineStr">
        <is>
          <t>备注</t>
        </is>
      </c>
    </row>
    <row r="4">
      <c r="A4" t="inlineStr">
        <is>
          <t>Q1-Q8 PASS</t>
        </is>
      </c>
      <c r="B4">
        <f>COUNTIF('01_Closure_Q1-Q8'!J4:J11,"PASS")</f>
        <v/>
      </c>
      <c r="D4" s="20" t="inlineStr">
        <is>
          <t>Closure</t>
        </is>
      </c>
      <c r="E4" s="20" t="inlineStr">
        <is>
          <t>8/8 PASS</t>
        </is>
      </c>
      <c r="F4" s="20" t="inlineStr">
        <is>
          <t>6-7 PASS</t>
        </is>
      </c>
      <c r="G4" s="20" t="inlineStr">
        <is>
          <t>&lt;6或任一P0 FAIL</t>
        </is>
      </c>
      <c r="H4" s="20">
        <f>B4</f>
        <v/>
      </c>
      <c r="I4" s="20" t="inlineStr">
        <is>
          <t>正式5天是否可启动</t>
        </is>
      </c>
      <c r="J4" s="20" t="str"/>
      <c r="K4" s="20" t="inlineStr">
        <is>
          <t>R</t>
        </is>
      </c>
      <c r="L4" s="20" t="str"/>
    </row>
    <row r="5">
      <c r="A5" t="inlineStr">
        <is>
          <t>Legacy集合状态</t>
        </is>
      </c>
      <c r="B5">
        <f>'02_LegacyInventory'!S9</f>
        <v/>
      </c>
      <c r="D5" s="20" t="inlineStr">
        <is>
          <t>Legacy</t>
        </is>
      </c>
      <c r="E5" s="20" t="inlineStr">
        <is>
          <t>SET_FROZEN</t>
        </is>
      </c>
      <c r="F5" s="20" t="inlineStr">
        <is>
          <t>盘点中</t>
        </is>
      </c>
      <c r="G5" s="20" t="inlineStr">
        <is>
          <t>未盘点/混乱</t>
        </is>
      </c>
      <c r="H5" s="20">
        <f>B5</f>
        <v/>
      </c>
      <c r="I5" s="20" t="inlineStr">
        <is>
          <t>Q1</t>
        </is>
      </c>
      <c r="J5" s="20" t="str"/>
      <c r="K5" s="20" t="inlineStr">
        <is>
          <t>B/R</t>
        </is>
      </c>
      <c r="L5" s="20" t="str"/>
    </row>
    <row r="6">
      <c r="A6" t="inlineStr">
        <is>
          <t>Legacy IN_SCOPE</t>
        </is>
      </c>
      <c r="B6">
        <f>'02_LegacyInventory'!S5</f>
        <v/>
      </c>
      <c r="D6" s="20" t="inlineStr">
        <is>
          <t>Calibration</t>
        </is>
      </c>
      <c r="E6" s="20" t="inlineStr">
        <is>
          <t>Kappa&gt;=0.70</t>
        </is>
      </c>
      <c r="F6" s="20" t="inlineStr">
        <is>
          <t>0.65-0.70</t>
        </is>
      </c>
      <c r="G6" s="20" t="inlineStr">
        <is>
          <t>&lt;0.65</t>
        </is>
      </c>
      <c r="H6" s="20" t="inlineStr">
        <is>
          <t>人工填写Kappa</t>
        </is>
      </c>
      <c r="I6" s="20" t="inlineStr">
        <is>
          <t>新40，不默认复用PR31</t>
        </is>
      </c>
      <c r="J6" s="20" t="str"/>
      <c r="K6" s="20" t="inlineStr">
        <is>
          <t>R</t>
        </is>
      </c>
      <c r="L6" s="20" t="str"/>
    </row>
    <row r="7">
      <c r="A7" t="inlineStr">
        <is>
          <t>Legacy已完成人工Decision</t>
        </is>
      </c>
      <c r="B7">
        <f>COUNTIFS('03_LegacyRequal'!B4:B503,"&lt;&gt;",'03_LegacyRequal'!R4:R503,"完成")</f>
        <v/>
      </c>
      <c r="D7" s="20" t="inlineStr">
        <is>
          <t>Bulk</t>
        </is>
      </c>
      <c r="E7" s="20" t="inlineStr">
        <is>
          <t>分歧&lt;=12%</t>
        </is>
      </c>
      <c r="F7" s="20" t="inlineStr">
        <is>
          <t>12-20%</t>
        </is>
      </c>
      <c r="G7" s="20" t="inlineStr">
        <is>
          <t>&gt;20%</t>
        </is>
      </c>
      <c r="H7" s="20" t="inlineStr">
        <is>
          <t>人工填写分歧率</t>
        </is>
      </c>
      <c r="I7" s="20" t="inlineStr">
        <is>
          <t>微批健康度</t>
        </is>
      </c>
      <c r="J7" s="20" t="str"/>
      <c r="K7" s="20" t="inlineStr">
        <is>
          <t>A/B/R</t>
        </is>
      </c>
      <c r="L7" s="20" t="str"/>
    </row>
    <row r="8">
      <c r="A8" t="inlineStr">
        <is>
          <t>Accepted Legacy Gold</t>
        </is>
      </c>
      <c r="B8">
        <f>'04_动态配额'!C10</f>
        <v/>
      </c>
      <c r="D8" s="20" t="inlineStr">
        <is>
          <t>Runtime</t>
        </is>
      </c>
      <c r="E8" s="20" t="inlineStr">
        <is>
          <t>35+证据齐</t>
        </is>
      </c>
      <c r="F8" s="20" t="inlineStr">
        <is>
          <t>25-34</t>
        </is>
      </c>
      <c r="G8" s="20" t="inlineStr">
        <is>
          <t>M3 BLOCKED/&lt;25</t>
        </is>
      </c>
      <c r="H8" s="20">
        <f>B12</f>
        <v/>
      </c>
      <c r="I8" s="20" t="inlineStr">
        <is>
          <t>外部依赖</t>
        </is>
      </c>
      <c r="J8" s="20" t="str"/>
      <c r="K8" s="20" t="inlineStr">
        <is>
          <t>B/R</t>
        </is>
      </c>
      <c r="L8" s="20" t="str"/>
    </row>
    <row r="9">
      <c r="A9" t="inlineStr">
        <is>
          <t>新Gold缺口</t>
        </is>
      </c>
      <c r="B9">
        <f>'04_动态配额'!D10</f>
        <v/>
      </c>
      <c r="D9" s="20" t="inlineStr">
        <is>
          <t>Seal</t>
        </is>
      </c>
      <c r="E9" s="20" t="inlineStr">
        <is>
          <t>新generation APPROVED</t>
        </is>
      </c>
      <c r="F9" s="20" t="inlineStr">
        <is>
          <t>PENDING_REVIEW</t>
        </is>
      </c>
      <c r="G9" s="20" t="inlineStr">
        <is>
          <t>REVOKED/Leak未清</t>
        </is>
      </c>
      <c r="H9" s="20" t="inlineStr">
        <is>
          <t>人工填写seal status</t>
        </is>
      </c>
      <c r="I9" s="20" t="inlineStr">
        <is>
          <t>Q2</t>
        </is>
      </c>
      <c r="J9" s="20" t="str"/>
      <c r="K9" s="20" t="inlineStr">
        <is>
          <t>R</t>
        </is>
      </c>
      <c r="L9" s="20" t="str"/>
    </row>
    <row r="10">
      <c r="A10" t="inlineStr">
        <is>
          <t>Candidate需求</t>
        </is>
      </c>
      <c r="B10">
        <f>'04_动态配额'!F10</f>
        <v/>
      </c>
      <c r="D10" s="20" t="inlineStr">
        <is>
          <t>Release</t>
        </is>
      </c>
      <c r="E10" s="20" t="inlineStr">
        <is>
          <t>P0全PASS</t>
        </is>
      </c>
      <c r="F10" s="20" t="inlineStr">
        <is>
          <t>少量P1</t>
        </is>
      </c>
      <c r="G10" s="20" t="inlineStr">
        <is>
          <t>任一P0 FAIL</t>
        </is>
      </c>
      <c r="H10" s="20" t="inlineStr">
        <is>
          <t>人工填写release status</t>
        </is>
      </c>
      <c r="I10" s="20" t="inlineStr">
        <is>
          <t>最终发布</t>
        </is>
      </c>
      <c r="J10" s="20" t="str"/>
      <c r="K10" s="20" t="inlineStr">
        <is>
          <t>R</t>
        </is>
      </c>
      <c r="L10" s="20" t="str"/>
    </row>
    <row r="11">
      <c r="A11" t="inlineStr">
        <is>
          <t>M1/M2/M3 PASS数</t>
        </is>
      </c>
      <c r="B11">
        <f>COUNTIF('09_主仓依赖Gate'!G4:G7,"PASS")</f>
        <v/>
      </c>
    </row>
    <row r="12">
      <c r="A12" t="inlineStr">
        <is>
          <t>Runtime完成</t>
        </is>
      </c>
      <c r="B12">
        <f>COUNTIF('13_Runtime35'!P4:P38,"完成")</f>
        <v/>
      </c>
    </row>
    <row r="13">
      <c r="A13" t="inlineStr">
        <is>
          <t>正式5天任务完成率</t>
        </is>
      </c>
      <c r="B13" s="24">
        <f>COUNTIF('15_五天执行'!L4:L13,"完成")/COUNTA('15_五天执行'!A4:A13)</f>
        <v/>
      </c>
    </row>
    <row r="14">
      <c r="A14" t="inlineStr">
        <is>
          <t>Release Ready</t>
        </is>
      </c>
    </row>
  </sheetData>
  <mergeCells count="1">
    <mergeCell ref="A1:L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2026-09-05T23:09:55Z</dcterms:created>
  <dcterms:modified xmlns:dcterms="http://purl.org/dc/terms/" xmlns:xsi="http://www.w3.org/2001/XMLSchema-instance" xsi:type="dcterms:W3CDTF">2026-09-05T23:10:06Z</dcterms:modified>
</cp:coreProperties>
</file>